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https://halmaholdingsinc.sharepoint.com/sites/CEN-Engineering/Shared Documents/General/NPD/Secure Safety Bracelet/Design Requirements/"/>
    </mc:Choice>
  </mc:AlternateContent>
  <xr:revisionPtr revIDLastSave="4918" documentId="13_ncr:1_{78715186-1231-4A75-A6BA-D7D766E50EB5}" xr6:coauthVersionLast="47" xr6:coauthVersionMax="47" xr10:uidLastSave="{54B36E58-8A8D-4D3F-BEF5-6633F42AF5E2}"/>
  <bookViews>
    <workbookView xWindow="47897" yWindow="-2366" windowWidth="38606" windowHeight="21086" tabRatio="762" firstSheet="4" activeTab="4" xr2:uid="{4F3EE28C-0E43-4680-82B0-C7E9101CD0DB}"/>
  </bookViews>
  <sheets>
    <sheet name="Forms Cover Page" sheetId="10" r:id="rId1"/>
    <sheet name="TRD Change Log" sheetId="9" r:id="rId2"/>
    <sheet name="Staff Safety Pendant TRD Rev0.1" sheetId="13" r:id="rId3"/>
    <sheet name="Staff Safety Pendant Figures" sheetId="22" r:id="rId4"/>
    <sheet name="SS_2.0_Bracelet_TRD" sheetId="24" r:id="rId5"/>
    <sheet name="SecureSafetyBracelet PR Figures" sheetId="23" r:id="rId6"/>
    <sheet name="Timepiece TRD Rev1.0" sheetId="25" r:id="rId7"/>
  </sheets>
  <definedNames>
    <definedName name="_xlnm._FilterDatabase" localSheetId="4" hidden="1">'SS_2.0_Bracelet_TRD'!$A$7:$P$624</definedName>
    <definedName name="_xlnm._FilterDatabase" localSheetId="2" hidden="1">'Staff Safety Pendant TRD Rev0.1'!$A$7:$G$44</definedName>
    <definedName name="_xlnm._FilterDatabase" localSheetId="6" hidden="1">'Timepiece TRD Rev1.0'!$A$7:$G$25</definedName>
    <definedName name="_xlnm._FilterDatabase" localSheetId="1" hidden="1">'TRD Change Log'!$A$5:$F$6</definedName>
    <definedName name="Figure_1" localSheetId="0">#REF!</definedName>
    <definedName name="Figure_1" localSheetId="3">'Staff Safety Pendant Figures'!$B$7</definedName>
    <definedName name="Figure_1" localSheetId="1">#REF!</definedName>
    <definedName name="Figure_1">#REF!</definedName>
    <definedName name="_xlnm.Print_Titles" localSheetId="4">'SS_2.0_Bracelet_TRD'!$1:$7</definedName>
    <definedName name="_xlnm.Print_Titles" localSheetId="2">'Staff Safety Pendant TRD Rev0.1'!$1:$7</definedName>
    <definedName name="_xlnm.Print_Titles" localSheetId="6">'Timepiece TRD Rev1.0'!$1:$7</definedName>
    <definedName name="_xlnm.Print_Titles" localSheetId="1">'TRD Change Log'!$1:$5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24" l="1"/>
  <c r="K3" i="24"/>
  <c r="K2" i="24"/>
  <c r="K1" i="24"/>
  <c r="J9" i="24"/>
  <c r="J10" i="24"/>
  <c r="J11" i="24"/>
  <c r="J12" i="24"/>
  <c r="J13" i="24"/>
  <c r="J14" i="24"/>
  <c r="J15"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7" i="24"/>
  <c r="J58" i="24"/>
  <c r="J59" i="24"/>
  <c r="J60" i="24"/>
  <c r="J61" i="24"/>
  <c r="J62" i="24"/>
  <c r="J63" i="24"/>
  <c r="J64" i="24"/>
  <c r="J65" i="24"/>
  <c r="J66" i="24"/>
  <c r="J67" i="24"/>
  <c r="J68" i="24"/>
  <c r="J69" i="24"/>
  <c r="J70" i="24"/>
  <c r="J71" i="24"/>
  <c r="J72" i="24"/>
  <c r="J73" i="24"/>
  <c r="J74" i="24"/>
  <c r="J75" i="24"/>
  <c r="J76" i="24"/>
  <c r="J77" i="24"/>
  <c r="J78" i="24"/>
  <c r="J79" i="24"/>
  <c r="J80" i="24"/>
  <c r="J81" i="24"/>
  <c r="J82" i="24"/>
  <c r="J83" i="24"/>
  <c r="J84" i="24"/>
  <c r="J85" i="24"/>
  <c r="J86" i="24"/>
  <c r="J87" i="24"/>
  <c r="J88" i="24"/>
  <c r="J89" i="24"/>
  <c r="J90" i="24"/>
  <c r="J91" i="24"/>
  <c r="J92" i="24"/>
  <c r="J93" i="24"/>
  <c r="J94" i="24"/>
  <c r="J95" i="24"/>
  <c r="J96" i="24"/>
  <c r="J97" i="24"/>
  <c r="J98" i="24"/>
  <c r="J99" i="24"/>
  <c r="J100" i="24"/>
  <c r="J101" i="24"/>
  <c r="J102" i="24"/>
  <c r="J103" i="24"/>
  <c r="J104" i="24"/>
  <c r="J105" i="24"/>
  <c r="J106" i="24"/>
  <c r="J107" i="24"/>
  <c r="J108" i="24"/>
  <c r="J109" i="24"/>
  <c r="J110" i="24"/>
  <c r="J111" i="24"/>
  <c r="J112" i="24"/>
  <c r="J113" i="24"/>
  <c r="J114" i="24"/>
  <c r="J115" i="24"/>
  <c r="J116" i="24"/>
  <c r="J117" i="24"/>
  <c r="J118" i="24"/>
  <c r="J119" i="24"/>
  <c r="J120" i="24"/>
  <c r="J121" i="24"/>
  <c r="J122" i="24"/>
  <c r="J123" i="24"/>
  <c r="J124" i="24"/>
  <c r="J125" i="24"/>
  <c r="J126" i="24"/>
  <c r="J127" i="24"/>
  <c r="J128" i="24"/>
  <c r="J129" i="24"/>
  <c r="J130" i="24"/>
  <c r="J131" i="24"/>
  <c r="J132" i="24"/>
  <c r="J133" i="24"/>
  <c r="J134" i="24"/>
  <c r="J135" i="24"/>
  <c r="J136" i="24"/>
  <c r="J137" i="24"/>
  <c r="J138" i="24"/>
  <c r="J139" i="24"/>
  <c r="J140" i="24"/>
  <c r="J141" i="24"/>
  <c r="J142" i="24"/>
  <c r="J143" i="24"/>
  <c r="J144" i="24"/>
  <c r="J145" i="24"/>
  <c r="J146" i="24"/>
  <c r="J147" i="24"/>
  <c r="J148" i="24"/>
  <c r="J149" i="24"/>
  <c r="J150" i="24"/>
  <c r="J151" i="24"/>
  <c r="J152" i="24"/>
  <c r="J153" i="24"/>
  <c r="J154" i="24"/>
  <c r="J155" i="24"/>
  <c r="J156" i="24"/>
  <c r="J157" i="24"/>
  <c r="J158" i="24"/>
  <c r="J159" i="24"/>
  <c r="J160" i="24"/>
  <c r="J161" i="24"/>
  <c r="J162" i="24"/>
  <c r="J163" i="24"/>
  <c r="J164" i="24"/>
  <c r="J165" i="24"/>
  <c r="J166" i="24"/>
  <c r="J167" i="24"/>
  <c r="J168" i="24"/>
  <c r="J169" i="24"/>
  <c r="J170" i="24"/>
  <c r="J171" i="24"/>
  <c r="J172" i="24"/>
  <c r="J173" i="24"/>
  <c r="J174" i="24"/>
  <c r="J175" i="24"/>
  <c r="J176" i="24"/>
  <c r="J177" i="24"/>
  <c r="J178" i="24"/>
  <c r="J179" i="24"/>
  <c r="J180" i="24"/>
  <c r="J181" i="24"/>
  <c r="J182" i="24"/>
  <c r="J183" i="24"/>
  <c r="J184" i="24"/>
  <c r="J185" i="24"/>
  <c r="J186" i="24"/>
  <c r="J187" i="24"/>
  <c r="J188" i="24"/>
  <c r="J189" i="24"/>
  <c r="J190" i="24"/>
  <c r="J191" i="24"/>
  <c r="J192" i="24"/>
  <c r="J193" i="24"/>
  <c r="J194" i="24"/>
  <c r="J195" i="24"/>
  <c r="J196" i="24"/>
  <c r="J197" i="24"/>
  <c r="J198" i="24"/>
  <c r="J199" i="24"/>
  <c r="J200" i="24"/>
  <c r="J201" i="24"/>
  <c r="J202" i="24"/>
  <c r="J203" i="24"/>
  <c r="J204" i="24"/>
  <c r="J205" i="24"/>
  <c r="J206" i="24"/>
  <c r="J207" i="24"/>
  <c r="J208" i="24"/>
  <c r="J209" i="24"/>
  <c r="J210" i="24"/>
  <c r="J211" i="24"/>
  <c r="J212" i="24"/>
  <c r="J213" i="24"/>
  <c r="J214" i="24"/>
  <c r="J215" i="24"/>
  <c r="J216" i="24"/>
  <c r="J217" i="24"/>
  <c r="J218" i="24"/>
  <c r="J219" i="24"/>
  <c r="J220" i="24"/>
  <c r="J221" i="24"/>
  <c r="J222" i="24"/>
  <c r="J223" i="24"/>
  <c r="J224" i="24"/>
  <c r="J225" i="24"/>
  <c r="J226" i="24"/>
  <c r="J227" i="24"/>
  <c r="J228" i="24"/>
  <c r="J229" i="24"/>
  <c r="J230" i="24"/>
  <c r="J231" i="24"/>
  <c r="J232" i="24"/>
  <c r="J233" i="24"/>
  <c r="J234" i="24"/>
  <c r="J235" i="24"/>
  <c r="J236" i="24"/>
  <c r="J237" i="24"/>
  <c r="J238" i="24"/>
  <c r="J239" i="24"/>
  <c r="J240" i="24"/>
  <c r="J241" i="24"/>
  <c r="J242" i="24"/>
  <c r="J243" i="24"/>
  <c r="J244" i="24"/>
  <c r="J245" i="24"/>
  <c r="J246" i="24"/>
  <c r="J247" i="24"/>
  <c r="J248" i="24"/>
  <c r="J249" i="24"/>
  <c r="J250" i="24"/>
  <c r="J251" i="24"/>
  <c r="J252" i="24"/>
  <c r="J253" i="24"/>
  <c r="J254" i="24"/>
  <c r="J255" i="24"/>
  <c r="J256" i="24"/>
  <c r="J257" i="24"/>
  <c r="J258" i="24"/>
  <c r="J259" i="24"/>
  <c r="J260" i="24"/>
  <c r="J261" i="24"/>
  <c r="J262" i="24"/>
  <c r="J263" i="24"/>
  <c r="J264" i="24"/>
  <c r="J265" i="24"/>
  <c r="J266" i="24"/>
  <c r="J267" i="24"/>
  <c r="J268" i="24"/>
  <c r="J269" i="24"/>
  <c r="J270" i="24"/>
  <c r="J271" i="24"/>
  <c r="J272" i="24"/>
  <c r="J273" i="24"/>
  <c r="J274" i="24"/>
  <c r="J275" i="24"/>
  <c r="J276" i="24"/>
  <c r="J277" i="24"/>
  <c r="J278" i="24"/>
  <c r="J279" i="24"/>
  <c r="J280" i="24"/>
  <c r="J281" i="24"/>
  <c r="J282" i="24"/>
  <c r="J283" i="24"/>
  <c r="J284" i="24"/>
  <c r="J285" i="24"/>
  <c r="J286" i="24"/>
  <c r="J287" i="24"/>
  <c r="J288" i="24"/>
  <c r="J289" i="24"/>
  <c r="J290" i="24"/>
  <c r="J291" i="24"/>
  <c r="J292" i="24"/>
  <c r="J293" i="24"/>
  <c r="J294" i="24"/>
  <c r="J295" i="24"/>
  <c r="J296" i="24"/>
  <c r="J297" i="24"/>
  <c r="J298" i="24"/>
  <c r="J299" i="24"/>
  <c r="J300" i="24"/>
  <c r="J301" i="24"/>
  <c r="J302" i="24"/>
  <c r="J303" i="24"/>
  <c r="J304" i="24"/>
  <c r="J305" i="24"/>
  <c r="J306" i="24"/>
  <c r="J307" i="24"/>
  <c r="J308" i="24"/>
  <c r="J309" i="24"/>
  <c r="J310" i="24"/>
  <c r="J311" i="24"/>
  <c r="J312" i="24"/>
  <c r="J313" i="24"/>
  <c r="J314" i="24"/>
  <c r="J315" i="24"/>
  <c r="J316" i="24"/>
  <c r="J317" i="24"/>
  <c r="J318" i="24"/>
  <c r="J319" i="24"/>
  <c r="J320" i="24"/>
  <c r="J321" i="24"/>
  <c r="J322" i="24"/>
  <c r="J323" i="24"/>
  <c r="J324" i="24"/>
  <c r="J325" i="24"/>
  <c r="J326" i="24"/>
  <c r="J327" i="24"/>
  <c r="J328" i="24"/>
  <c r="J329" i="24"/>
  <c r="J330" i="24"/>
  <c r="J331" i="24"/>
  <c r="J332" i="24"/>
  <c r="J333" i="24"/>
  <c r="J334" i="24"/>
  <c r="J335" i="24"/>
  <c r="J336" i="24"/>
  <c r="J337" i="24"/>
  <c r="J338" i="24"/>
  <c r="J339" i="24"/>
  <c r="J340" i="24"/>
  <c r="J341" i="24"/>
  <c r="J342" i="24"/>
  <c r="J343" i="24"/>
  <c r="J344" i="24"/>
  <c r="J345" i="24"/>
  <c r="J346" i="24"/>
  <c r="J347" i="24"/>
  <c r="J348" i="24"/>
  <c r="J349" i="24"/>
  <c r="J350" i="24"/>
  <c r="J351" i="24"/>
  <c r="J352" i="24"/>
  <c r="J353" i="24"/>
  <c r="J354" i="24"/>
  <c r="J355" i="24"/>
  <c r="J356" i="24"/>
  <c r="J357" i="24"/>
  <c r="J358" i="24"/>
  <c r="J359" i="24"/>
  <c r="J360" i="24"/>
  <c r="J361" i="24"/>
  <c r="J362" i="24"/>
  <c r="J363" i="24"/>
  <c r="J364" i="24"/>
  <c r="J365" i="24"/>
  <c r="J366" i="24"/>
  <c r="J367" i="24"/>
  <c r="J368" i="24"/>
  <c r="J369" i="24"/>
  <c r="J370" i="24"/>
  <c r="J371" i="24"/>
  <c r="J372" i="24"/>
  <c r="J373" i="24"/>
  <c r="J374" i="24"/>
  <c r="J375" i="24"/>
  <c r="J376" i="24"/>
  <c r="J377" i="24"/>
  <c r="J378" i="24"/>
  <c r="J379" i="24"/>
  <c r="J380" i="24"/>
  <c r="J381" i="24"/>
  <c r="J382" i="24"/>
  <c r="J383" i="24"/>
  <c r="J384" i="24"/>
  <c r="J385" i="24"/>
  <c r="J386" i="24"/>
  <c r="J387" i="24"/>
  <c r="J388" i="24"/>
  <c r="J389" i="24"/>
  <c r="J390" i="24"/>
  <c r="J391" i="24"/>
  <c r="J392" i="24"/>
  <c r="J393" i="24"/>
  <c r="J394" i="24"/>
  <c r="J395" i="24"/>
  <c r="J396" i="24"/>
  <c r="J397" i="24"/>
  <c r="J398" i="24"/>
  <c r="J399" i="24"/>
  <c r="J400" i="24"/>
  <c r="J401" i="24"/>
  <c r="J402" i="24"/>
  <c r="J403" i="24"/>
  <c r="J404" i="24"/>
  <c r="J405" i="24"/>
  <c r="J406" i="24"/>
  <c r="J407" i="24"/>
  <c r="J408" i="24"/>
  <c r="J409" i="24"/>
  <c r="J410" i="24"/>
  <c r="J411" i="24"/>
  <c r="J412" i="24"/>
  <c r="J413" i="24"/>
  <c r="J414" i="24"/>
  <c r="J415" i="24"/>
  <c r="J416" i="24"/>
  <c r="J417" i="24"/>
  <c r="J418" i="24"/>
  <c r="J419" i="24"/>
  <c r="J420" i="24"/>
  <c r="J421" i="24"/>
  <c r="J422" i="24"/>
  <c r="J423" i="24"/>
  <c r="J424" i="24"/>
  <c r="J425" i="24"/>
  <c r="J426" i="24"/>
  <c r="J427" i="24"/>
  <c r="J428" i="24"/>
  <c r="J429" i="24"/>
  <c r="J430" i="24"/>
  <c r="J431" i="24"/>
  <c r="J432" i="24"/>
  <c r="J433" i="24"/>
  <c r="J434" i="24"/>
  <c r="J435" i="24"/>
  <c r="J436" i="24"/>
  <c r="J437" i="24"/>
  <c r="J438" i="24"/>
  <c r="J439" i="24"/>
  <c r="J440" i="24"/>
  <c r="J441" i="24"/>
  <c r="J442" i="24"/>
  <c r="J443" i="24"/>
  <c r="J444" i="24"/>
  <c r="J445" i="24"/>
  <c r="J446" i="24"/>
  <c r="J447" i="24"/>
  <c r="J448" i="24"/>
  <c r="J449" i="24"/>
  <c r="J450" i="24"/>
  <c r="J451" i="24"/>
  <c r="J452" i="24"/>
  <c r="J453" i="24"/>
  <c r="J454" i="24"/>
  <c r="J455" i="24"/>
  <c r="J456" i="24"/>
  <c r="J457" i="24"/>
  <c r="J458" i="24"/>
  <c r="J459" i="24"/>
  <c r="J460" i="24"/>
  <c r="J461" i="24"/>
  <c r="J462" i="24"/>
  <c r="J463" i="24"/>
  <c r="J464" i="24"/>
  <c r="J465" i="24"/>
  <c r="J466" i="24"/>
  <c r="J467" i="24"/>
  <c r="J468" i="24"/>
  <c r="J469" i="24"/>
  <c r="J470" i="24"/>
  <c r="J471" i="24"/>
  <c r="J472" i="24"/>
  <c r="J473" i="24"/>
  <c r="J474" i="24"/>
  <c r="J475" i="24"/>
  <c r="J476" i="24"/>
  <c r="J477" i="24"/>
  <c r="J478" i="24"/>
  <c r="J479" i="24"/>
  <c r="J480" i="24"/>
  <c r="J481" i="24"/>
  <c r="J482" i="24"/>
  <c r="J483" i="24"/>
  <c r="J484" i="24"/>
  <c r="J485" i="24"/>
  <c r="J486" i="24"/>
  <c r="J487" i="24"/>
  <c r="J488" i="24"/>
  <c r="J489" i="24"/>
  <c r="J490" i="24"/>
  <c r="J491" i="24"/>
  <c r="J492" i="24"/>
  <c r="J493" i="24"/>
  <c r="J494" i="24"/>
  <c r="J495" i="24"/>
  <c r="J496" i="24"/>
  <c r="J497" i="24"/>
  <c r="J498" i="24"/>
  <c r="J499" i="24"/>
  <c r="J500" i="24"/>
  <c r="J501" i="24"/>
  <c r="J502" i="24"/>
  <c r="J503" i="24"/>
  <c r="J504" i="24"/>
  <c r="J505" i="24"/>
  <c r="J506" i="24"/>
  <c r="J507" i="24"/>
  <c r="J508" i="24"/>
  <c r="J509" i="24"/>
  <c r="J510" i="24"/>
  <c r="J511" i="24"/>
  <c r="J512" i="24"/>
  <c r="J513" i="24"/>
  <c r="J514" i="24"/>
  <c r="J515" i="24"/>
  <c r="J516" i="24"/>
  <c r="J517" i="24"/>
  <c r="J518" i="24"/>
  <c r="J519" i="24"/>
  <c r="J520" i="24"/>
  <c r="J521" i="24"/>
  <c r="J522" i="24"/>
  <c r="J523" i="24"/>
  <c r="J524" i="24"/>
  <c r="J525" i="24"/>
  <c r="J526" i="24"/>
  <c r="J527" i="24"/>
  <c r="J528" i="24"/>
  <c r="J529" i="24"/>
  <c r="J530" i="24"/>
  <c r="J531" i="24"/>
  <c r="J532" i="24"/>
  <c r="J533" i="24"/>
  <c r="J534" i="24"/>
  <c r="J535" i="24"/>
  <c r="J536" i="24"/>
  <c r="J537" i="24"/>
  <c r="J538" i="24"/>
  <c r="J539" i="24"/>
  <c r="J540" i="24"/>
  <c r="J541" i="24"/>
  <c r="J542" i="24"/>
  <c r="J543" i="24"/>
  <c r="J544" i="24"/>
  <c r="J545" i="24"/>
  <c r="J546" i="24"/>
  <c r="J547" i="24"/>
  <c r="J548" i="24"/>
  <c r="J549" i="24"/>
  <c r="J550" i="24"/>
  <c r="J551" i="24"/>
  <c r="J552" i="24"/>
  <c r="J553" i="24"/>
  <c r="J554" i="24"/>
  <c r="J555" i="24"/>
  <c r="J556" i="24"/>
  <c r="J557" i="24"/>
  <c r="J558" i="24"/>
  <c r="J559" i="24"/>
  <c r="J560" i="24"/>
  <c r="J561" i="24"/>
  <c r="J562" i="24"/>
  <c r="J563" i="24"/>
  <c r="J564" i="24"/>
  <c r="J565" i="24"/>
  <c r="J566" i="24"/>
  <c r="J567" i="24"/>
  <c r="J568" i="24"/>
  <c r="J569" i="24"/>
  <c r="J570" i="24"/>
  <c r="J571" i="24"/>
  <c r="J572" i="24"/>
  <c r="J573" i="24"/>
  <c r="J574" i="24"/>
  <c r="J575" i="24"/>
  <c r="J576" i="24"/>
  <c r="J577" i="24"/>
  <c r="J578" i="24"/>
  <c r="J579" i="24"/>
  <c r="J580" i="24"/>
  <c r="J581" i="24"/>
  <c r="J582" i="24"/>
  <c r="J583" i="24"/>
  <c r="J584" i="24"/>
  <c r="J585" i="24"/>
  <c r="J586" i="24"/>
  <c r="J587" i="24"/>
  <c r="J588" i="24"/>
  <c r="J589" i="24"/>
  <c r="J590" i="24"/>
  <c r="J591" i="24"/>
  <c r="J592" i="24"/>
  <c r="J593" i="24"/>
  <c r="J594" i="24"/>
  <c r="J595" i="24"/>
  <c r="J596" i="24"/>
  <c r="J597" i="24"/>
  <c r="J598" i="24"/>
  <c r="J599" i="24"/>
  <c r="J600" i="24"/>
  <c r="J601" i="24"/>
  <c r="J602" i="24"/>
  <c r="J603" i="24"/>
  <c r="J604" i="24"/>
  <c r="J605" i="24"/>
  <c r="J606" i="24"/>
  <c r="J607" i="24"/>
  <c r="J608" i="24"/>
  <c r="J609" i="24"/>
  <c r="J610" i="24"/>
  <c r="J611" i="24"/>
  <c r="J612" i="24"/>
  <c r="J613" i="24"/>
  <c r="J614" i="24"/>
  <c r="J615" i="24"/>
  <c r="J616" i="24"/>
  <c r="J617" i="24"/>
  <c r="J618" i="24"/>
  <c r="J619" i="24"/>
  <c r="J620" i="24"/>
  <c r="J621" i="24"/>
  <c r="J622" i="24"/>
  <c r="J623" i="24"/>
  <c r="J624" i="24"/>
  <c r="J8" i="24"/>
  <c r="I558" i="24"/>
  <c r="I559" i="24"/>
  <c r="I560" i="24"/>
  <c r="I561" i="24"/>
  <c r="I562" i="24"/>
  <c r="I563" i="24"/>
  <c r="I564" i="24"/>
  <c r="I565" i="24"/>
  <c r="I566" i="24"/>
  <c r="I567" i="24"/>
  <c r="I568" i="24"/>
  <c r="I569" i="24"/>
  <c r="I570" i="24"/>
  <c r="I571" i="24"/>
  <c r="I572" i="24"/>
  <c r="I573" i="24"/>
  <c r="I574" i="24"/>
  <c r="I575" i="24"/>
  <c r="I576" i="24"/>
  <c r="I577" i="24"/>
  <c r="I578" i="24"/>
  <c r="I579" i="24"/>
  <c r="I580" i="24"/>
  <c r="I581" i="24"/>
  <c r="I582" i="24"/>
  <c r="I583" i="24"/>
  <c r="I584" i="24"/>
  <c r="I585" i="24"/>
  <c r="I586" i="24"/>
  <c r="I587" i="24"/>
  <c r="I588" i="24"/>
  <c r="I589" i="24"/>
  <c r="I590" i="24"/>
  <c r="I591" i="24"/>
  <c r="I592" i="24"/>
  <c r="I593" i="24"/>
  <c r="I594" i="24"/>
  <c r="I595" i="24"/>
  <c r="I596" i="24"/>
  <c r="I597" i="24"/>
  <c r="I598" i="24"/>
  <c r="I599" i="24"/>
  <c r="I600" i="24"/>
  <c r="I601" i="24"/>
  <c r="I602" i="24"/>
  <c r="I603" i="24"/>
  <c r="I604" i="24"/>
  <c r="I605" i="24"/>
  <c r="I606" i="24"/>
  <c r="I607" i="24"/>
  <c r="I608" i="24"/>
  <c r="I609" i="24"/>
  <c r="I610" i="24"/>
  <c r="I611" i="24"/>
  <c r="I612" i="24"/>
  <c r="I613" i="24"/>
  <c r="I614" i="24"/>
  <c r="I615" i="24"/>
  <c r="I616" i="24"/>
  <c r="I617" i="24"/>
  <c r="I618" i="24"/>
  <c r="I619" i="24"/>
  <c r="I620" i="24"/>
  <c r="I621" i="24"/>
  <c r="I622" i="24"/>
  <c r="I623" i="24"/>
  <c r="I624" i="24"/>
  <c r="I545" i="24"/>
  <c r="I546" i="24"/>
  <c r="I547" i="24"/>
  <c r="I548" i="24"/>
  <c r="I549" i="24"/>
  <c r="I550" i="24"/>
  <c r="I551" i="24"/>
  <c r="I552" i="24"/>
  <c r="I553" i="24"/>
  <c r="I554" i="24"/>
  <c r="I555" i="24"/>
  <c r="I556" i="24"/>
  <c r="I557" i="24"/>
  <c r="I528" i="24"/>
  <c r="I529" i="24"/>
  <c r="I530" i="24"/>
  <c r="I531" i="24"/>
  <c r="I532" i="24"/>
  <c r="I533" i="24"/>
  <c r="I534" i="24"/>
  <c r="I535" i="24"/>
  <c r="I536" i="24"/>
  <c r="I537" i="24"/>
  <c r="I538" i="24"/>
  <c r="I539" i="24"/>
  <c r="I540" i="24"/>
  <c r="I541" i="24"/>
  <c r="I542" i="24"/>
  <c r="I543" i="24"/>
  <c r="I544" i="24"/>
  <c r="I515" i="24"/>
  <c r="I516" i="24"/>
  <c r="I517" i="24"/>
  <c r="I518" i="24"/>
  <c r="I519" i="24"/>
  <c r="I520" i="24"/>
  <c r="I521" i="24"/>
  <c r="I522" i="24"/>
  <c r="I523" i="24"/>
  <c r="I524" i="24"/>
  <c r="I525" i="24"/>
  <c r="I526" i="24"/>
  <c r="I527" i="24"/>
  <c r="I506" i="24"/>
  <c r="I507" i="24"/>
  <c r="I508" i="24"/>
  <c r="I509" i="24"/>
  <c r="I510" i="24"/>
  <c r="I511" i="24"/>
  <c r="I512" i="24"/>
  <c r="I513" i="24"/>
  <c r="I514" i="24"/>
  <c r="I487" i="24"/>
  <c r="I488" i="24"/>
  <c r="I489" i="24"/>
  <c r="I490" i="24"/>
  <c r="I491" i="24"/>
  <c r="I492" i="24"/>
  <c r="I493" i="24"/>
  <c r="I494" i="24"/>
  <c r="I495" i="24"/>
  <c r="I496" i="24"/>
  <c r="I497" i="24"/>
  <c r="I498" i="24"/>
  <c r="I499" i="24"/>
  <c r="I500" i="24"/>
  <c r="I501" i="24"/>
  <c r="I502" i="24"/>
  <c r="I503" i="24"/>
  <c r="I504" i="24"/>
  <c r="I505" i="24"/>
  <c r="I446" i="24"/>
  <c r="I447" i="24"/>
  <c r="I448" i="24"/>
  <c r="I449" i="24"/>
  <c r="I450" i="24"/>
  <c r="I451" i="24"/>
  <c r="I452" i="24"/>
  <c r="I453" i="24"/>
  <c r="I454" i="24"/>
  <c r="I455" i="24"/>
  <c r="I456" i="24"/>
  <c r="I457" i="24"/>
  <c r="I458" i="24"/>
  <c r="I459" i="24"/>
  <c r="I460" i="24"/>
  <c r="I461" i="24"/>
  <c r="I462" i="24"/>
  <c r="I463" i="24"/>
  <c r="I464" i="24"/>
  <c r="I465" i="24"/>
  <c r="I466" i="24"/>
  <c r="I467" i="24"/>
  <c r="I468" i="24"/>
  <c r="I469" i="24"/>
  <c r="I470" i="24"/>
  <c r="I471" i="24"/>
  <c r="I472" i="24"/>
  <c r="I473" i="24"/>
  <c r="I474" i="24"/>
  <c r="I475" i="24"/>
  <c r="I476" i="24"/>
  <c r="I477" i="24"/>
  <c r="I478" i="24"/>
  <c r="I479" i="24"/>
  <c r="I480" i="24"/>
  <c r="I481" i="24"/>
  <c r="I482" i="24"/>
  <c r="I483" i="24"/>
  <c r="I484" i="24"/>
  <c r="I485" i="24"/>
  <c r="I486" i="24"/>
  <c r="I439" i="24"/>
  <c r="I440" i="24"/>
  <c r="I441" i="24"/>
  <c r="I442" i="24"/>
  <c r="I443" i="24"/>
  <c r="I444" i="24"/>
  <c r="I445" i="24"/>
  <c r="I432" i="24"/>
  <c r="I433" i="24"/>
  <c r="I434" i="24"/>
  <c r="I435" i="24"/>
  <c r="I436" i="24"/>
  <c r="I437" i="24"/>
  <c r="I438" i="24"/>
  <c r="I421" i="24"/>
  <c r="I422" i="24"/>
  <c r="I423" i="24"/>
  <c r="I424" i="24"/>
  <c r="I425" i="24"/>
  <c r="I426" i="24"/>
  <c r="I427" i="24"/>
  <c r="I428" i="24"/>
  <c r="I429" i="24"/>
  <c r="I430" i="24"/>
  <c r="I431" i="24"/>
  <c r="I410" i="24"/>
  <c r="I411" i="24"/>
  <c r="I412" i="24"/>
  <c r="I413" i="24"/>
  <c r="I414" i="24"/>
  <c r="I415" i="24"/>
  <c r="I416" i="24"/>
  <c r="I417" i="24"/>
  <c r="I418" i="24"/>
  <c r="I419" i="24"/>
  <c r="I420" i="24"/>
  <c r="I394" i="24"/>
  <c r="I395" i="24"/>
  <c r="I396" i="24"/>
  <c r="I397" i="24"/>
  <c r="I398" i="24"/>
  <c r="I399" i="24"/>
  <c r="I400" i="24"/>
  <c r="I401" i="24"/>
  <c r="I402" i="24"/>
  <c r="I403" i="24"/>
  <c r="I404" i="24"/>
  <c r="I405" i="24"/>
  <c r="I406" i="24"/>
  <c r="I407" i="24"/>
  <c r="I408" i="24"/>
  <c r="I409" i="24"/>
  <c r="I308" i="24"/>
  <c r="I309" i="24"/>
  <c r="I310" i="24"/>
  <c r="I311" i="24"/>
  <c r="I312" i="24"/>
  <c r="I313" i="24"/>
  <c r="I314" i="24"/>
  <c r="I315" i="24"/>
  <c r="I316" i="24"/>
  <c r="I317" i="24"/>
  <c r="I318" i="24"/>
  <c r="I319" i="24"/>
  <c r="I320" i="24"/>
  <c r="I321" i="24"/>
  <c r="I322" i="24"/>
  <c r="I323" i="24"/>
  <c r="I324" i="24"/>
  <c r="I325" i="24"/>
  <c r="I326" i="24"/>
  <c r="I327" i="24"/>
  <c r="I328" i="24"/>
  <c r="I329" i="24"/>
  <c r="I330" i="24"/>
  <c r="I331" i="24"/>
  <c r="I332" i="24"/>
  <c r="I333" i="24"/>
  <c r="I334" i="24"/>
  <c r="I335" i="24"/>
  <c r="I336" i="24"/>
  <c r="I337" i="24"/>
  <c r="I338" i="24"/>
  <c r="I339" i="24"/>
  <c r="I340" i="24"/>
  <c r="I341" i="24"/>
  <c r="I342" i="24"/>
  <c r="I343" i="24"/>
  <c r="I344" i="24"/>
  <c r="I345" i="24"/>
  <c r="I346" i="24"/>
  <c r="I347" i="24"/>
  <c r="I348" i="24"/>
  <c r="I349" i="24"/>
  <c r="I350" i="24"/>
  <c r="I351" i="24"/>
  <c r="I352" i="24"/>
  <c r="I353" i="24"/>
  <c r="I354" i="24"/>
  <c r="I355" i="24"/>
  <c r="I356" i="24"/>
  <c r="I357" i="24"/>
  <c r="I358" i="24"/>
  <c r="I359" i="24"/>
  <c r="I360" i="24"/>
  <c r="I361" i="24"/>
  <c r="I362" i="24"/>
  <c r="I363" i="24"/>
  <c r="I364" i="24"/>
  <c r="I365" i="24"/>
  <c r="I366" i="24"/>
  <c r="I367" i="24"/>
  <c r="I368" i="24"/>
  <c r="I369" i="24"/>
  <c r="I370" i="24"/>
  <c r="I371" i="24"/>
  <c r="I372" i="24"/>
  <c r="I373" i="24"/>
  <c r="I374" i="24"/>
  <c r="I375" i="24"/>
  <c r="I376" i="24"/>
  <c r="I377" i="24"/>
  <c r="I378" i="24"/>
  <c r="I379" i="24"/>
  <c r="I380" i="24"/>
  <c r="I381" i="24"/>
  <c r="I382" i="24"/>
  <c r="I383" i="24"/>
  <c r="I384" i="24"/>
  <c r="I385" i="24"/>
  <c r="I386" i="24"/>
  <c r="I387" i="24"/>
  <c r="I388" i="24"/>
  <c r="I389" i="24"/>
  <c r="I390" i="24"/>
  <c r="I391" i="24"/>
  <c r="I392" i="24"/>
  <c r="I393" i="24"/>
  <c r="I256" i="24"/>
  <c r="I257" i="24"/>
  <c r="I258" i="24"/>
  <c r="I259" i="24"/>
  <c r="I260" i="24"/>
  <c r="I261" i="24"/>
  <c r="I262" i="24"/>
  <c r="I263" i="24"/>
  <c r="I264" i="24"/>
  <c r="I265" i="24"/>
  <c r="I266" i="24"/>
  <c r="I267" i="24"/>
  <c r="I268" i="24"/>
  <c r="I269" i="24"/>
  <c r="I270" i="24"/>
  <c r="I271" i="24"/>
  <c r="I272" i="24"/>
  <c r="I273" i="24"/>
  <c r="I274" i="24"/>
  <c r="I275" i="24"/>
  <c r="I276" i="24"/>
  <c r="I277" i="24"/>
  <c r="I278" i="24"/>
  <c r="I279" i="24"/>
  <c r="I280" i="24"/>
  <c r="I281" i="24"/>
  <c r="I282" i="24"/>
  <c r="I283" i="24"/>
  <c r="I284" i="24"/>
  <c r="I285" i="24"/>
  <c r="I286" i="24"/>
  <c r="I287" i="24"/>
  <c r="I288" i="24"/>
  <c r="I289" i="24"/>
  <c r="I290" i="24"/>
  <c r="I291" i="24"/>
  <c r="I292" i="24"/>
  <c r="I293" i="24"/>
  <c r="I294" i="24"/>
  <c r="I295" i="24"/>
  <c r="I296" i="24"/>
  <c r="I297" i="24"/>
  <c r="I298" i="24"/>
  <c r="I299" i="24"/>
  <c r="I300" i="24"/>
  <c r="I301" i="24"/>
  <c r="I302" i="24"/>
  <c r="I303" i="24"/>
  <c r="I304" i="24"/>
  <c r="I305" i="24"/>
  <c r="I306" i="24"/>
  <c r="I307" i="24"/>
  <c r="I207" i="24"/>
  <c r="I208" i="24"/>
  <c r="I209" i="24"/>
  <c r="I210" i="24"/>
  <c r="I211" i="24"/>
  <c r="I212" i="24"/>
  <c r="I213" i="24"/>
  <c r="I214" i="24"/>
  <c r="I215" i="24"/>
  <c r="I216" i="24"/>
  <c r="I217" i="24"/>
  <c r="I218" i="24"/>
  <c r="I219" i="24"/>
  <c r="I220" i="24"/>
  <c r="I221" i="24"/>
  <c r="I222" i="24"/>
  <c r="I223" i="24"/>
  <c r="I224" i="24"/>
  <c r="I225" i="24"/>
  <c r="I226" i="24"/>
  <c r="I227" i="24"/>
  <c r="I228" i="24"/>
  <c r="I229" i="24"/>
  <c r="I230" i="24"/>
  <c r="I231" i="24"/>
  <c r="I232" i="24"/>
  <c r="I233" i="24"/>
  <c r="I234" i="24"/>
  <c r="I235" i="24"/>
  <c r="I236" i="24"/>
  <c r="I237" i="24"/>
  <c r="I238" i="24"/>
  <c r="I239" i="24"/>
  <c r="I240" i="24"/>
  <c r="I241" i="24"/>
  <c r="I242" i="24"/>
  <c r="I243" i="24"/>
  <c r="I244" i="24"/>
  <c r="I245" i="24"/>
  <c r="I246" i="24"/>
  <c r="I247" i="24"/>
  <c r="I248" i="24"/>
  <c r="I249" i="24"/>
  <c r="I250" i="24"/>
  <c r="I251" i="24"/>
  <c r="I252" i="24"/>
  <c r="I253" i="24"/>
  <c r="I254" i="24"/>
  <c r="I255" i="24"/>
  <c r="I122" i="24"/>
  <c r="I123" i="24"/>
  <c r="I124" i="24"/>
  <c r="I125" i="24"/>
  <c r="I126" i="24"/>
  <c r="I127" i="24"/>
  <c r="I128" i="24"/>
  <c r="I129" i="24"/>
  <c r="I130" i="24"/>
  <c r="I131" i="24"/>
  <c r="I132" i="24"/>
  <c r="I133" i="24"/>
  <c r="I134" i="24"/>
  <c r="I135" i="24"/>
  <c r="I136" i="24"/>
  <c r="I137" i="24"/>
  <c r="I138" i="24"/>
  <c r="I139" i="24"/>
  <c r="I140" i="24"/>
  <c r="I141" i="24"/>
  <c r="I142" i="24"/>
  <c r="I143" i="24"/>
  <c r="I144" i="24"/>
  <c r="I145" i="24"/>
  <c r="I146" i="24"/>
  <c r="I147" i="24"/>
  <c r="I148" i="24"/>
  <c r="I149" i="24"/>
  <c r="I150" i="24"/>
  <c r="I151" i="24"/>
  <c r="I152" i="24"/>
  <c r="I153" i="24"/>
  <c r="I154" i="24"/>
  <c r="I155" i="24"/>
  <c r="I156" i="24"/>
  <c r="I157" i="24"/>
  <c r="I158" i="24"/>
  <c r="I159" i="24"/>
  <c r="I160" i="24"/>
  <c r="I161" i="24"/>
  <c r="I162" i="24"/>
  <c r="I163" i="24"/>
  <c r="I164" i="24"/>
  <c r="I165" i="24"/>
  <c r="I166" i="24"/>
  <c r="I167" i="24"/>
  <c r="I168" i="24"/>
  <c r="I169" i="24"/>
  <c r="I170" i="24"/>
  <c r="I171" i="24"/>
  <c r="I172" i="24"/>
  <c r="I173" i="24"/>
  <c r="I174" i="24"/>
  <c r="I175" i="24"/>
  <c r="I176" i="24"/>
  <c r="I177" i="24"/>
  <c r="I178" i="24"/>
  <c r="I179" i="24"/>
  <c r="I180" i="24"/>
  <c r="I181" i="24"/>
  <c r="I182" i="24"/>
  <c r="I183" i="24"/>
  <c r="I184" i="24"/>
  <c r="I185" i="24"/>
  <c r="I186" i="24"/>
  <c r="I187" i="24"/>
  <c r="I188" i="24"/>
  <c r="I189" i="24"/>
  <c r="I190" i="24"/>
  <c r="I191" i="24"/>
  <c r="I192" i="24"/>
  <c r="I193" i="24"/>
  <c r="I194" i="24"/>
  <c r="I195" i="24"/>
  <c r="I196" i="24"/>
  <c r="I197" i="24"/>
  <c r="I198" i="24"/>
  <c r="I199" i="24"/>
  <c r="I200" i="24"/>
  <c r="I201" i="24"/>
  <c r="I202" i="24"/>
  <c r="I203" i="24"/>
  <c r="I204" i="24"/>
  <c r="I205" i="24"/>
  <c r="I206" i="24"/>
  <c r="I102" i="24"/>
  <c r="I103" i="24"/>
  <c r="I104" i="24"/>
  <c r="I105" i="24"/>
  <c r="I106" i="24"/>
  <c r="I107" i="24"/>
  <c r="I108" i="24"/>
  <c r="I109" i="24"/>
  <c r="I110" i="24"/>
  <c r="I111" i="24"/>
  <c r="I112" i="24"/>
  <c r="I113" i="24"/>
  <c r="I114" i="24"/>
  <c r="I115" i="24"/>
  <c r="I116" i="24"/>
  <c r="I117" i="24"/>
  <c r="I118" i="24"/>
  <c r="I119" i="24"/>
  <c r="I120" i="24"/>
  <c r="I121" i="24"/>
  <c r="I86" i="24"/>
  <c r="I87" i="24"/>
  <c r="I88" i="24"/>
  <c r="I89" i="24"/>
  <c r="I90" i="24"/>
  <c r="I91" i="24"/>
  <c r="I92" i="24"/>
  <c r="I93" i="24"/>
  <c r="I94" i="24"/>
  <c r="I95" i="24"/>
  <c r="I96" i="24"/>
  <c r="I97" i="24"/>
  <c r="I98" i="24"/>
  <c r="I99" i="24"/>
  <c r="I100" i="24"/>
  <c r="I101" i="24"/>
  <c r="I79" i="24"/>
  <c r="I80" i="24"/>
  <c r="I81" i="24"/>
  <c r="I82" i="24"/>
  <c r="I83" i="24"/>
  <c r="I84" i="24"/>
  <c r="I85" i="24"/>
  <c r="I78" i="24"/>
  <c r="I69" i="24"/>
  <c r="I70" i="24"/>
  <c r="I71" i="24"/>
  <c r="I72" i="24"/>
  <c r="I73" i="24"/>
  <c r="I74" i="24"/>
  <c r="I75" i="24"/>
  <c r="I76" i="24"/>
  <c r="I77" i="24"/>
  <c r="I65" i="24"/>
  <c r="I66" i="24"/>
  <c r="I67" i="24"/>
  <c r="I68" i="24"/>
  <c r="I60" i="24"/>
  <c r="I61" i="24"/>
  <c r="I62" i="24"/>
  <c r="I63" i="24"/>
  <c r="I64" i="24"/>
  <c r="I59"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40" i="24"/>
  <c r="I41" i="24"/>
  <c r="I42" i="24"/>
  <c r="I43" i="24"/>
  <c r="I44" i="24"/>
  <c r="I45" i="24"/>
  <c r="I46" i="24"/>
  <c r="I47" i="24"/>
  <c r="I48" i="24"/>
  <c r="I49" i="24"/>
  <c r="I50" i="24"/>
  <c r="I51" i="24"/>
  <c r="I52" i="24"/>
  <c r="I53" i="24"/>
  <c r="I54" i="24"/>
  <c r="I55" i="24"/>
  <c r="I56" i="24"/>
  <c r="I57" i="24"/>
  <c r="I58" i="24"/>
  <c r="I8" i="24"/>
  <c r="K5"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Joe Garofalo</author>
  </authors>
  <commentList>
    <comment ref="A5" authorId="0" shapeId="0" xr:uid="{8B040691-4576-4A02-A8B8-AEBCE554B8CF}">
      <text>
        <r>
          <rPr>
            <sz val="9"/>
            <color indexed="81"/>
            <rFont val="Tahoma"/>
            <family val="2"/>
          </rPr>
          <t>Write next sequential number.</t>
        </r>
      </text>
    </comment>
    <comment ref="B5" authorId="0" shapeId="0" xr:uid="{AB89E7F8-6FA5-4180-A6B4-144473F7FB76}">
      <text>
        <r>
          <rPr>
            <sz val="9"/>
            <color indexed="81"/>
            <rFont val="Tahoma"/>
            <family val="2"/>
          </rPr>
          <t>Enter the date of when 
the change was logged.</t>
        </r>
      </text>
    </comment>
    <comment ref="D5" authorId="0" shapeId="0" xr:uid="{B340602E-4144-4F78-8A42-BD5DEE704290}">
      <text>
        <r>
          <rPr>
            <sz val="9"/>
            <color indexed="81"/>
            <rFont val="Tahoma"/>
            <family val="2"/>
          </rPr>
          <t>Describe the change by detailing what has changed and the reason why.</t>
        </r>
      </text>
    </comment>
    <comment ref="E5" authorId="0" shapeId="0" xr:uid="{88F626E0-2B11-4E5F-A2AC-D4F7543CBABE}">
      <text>
        <r>
          <rPr>
            <sz val="9"/>
            <color indexed="81"/>
            <rFont val="Tahoma"/>
            <family val="2"/>
          </rPr>
          <t>Write names of who agreed and/or approved the change.</t>
        </r>
      </text>
    </comment>
    <comment ref="F5" authorId="0" shapeId="0" xr:uid="{303D8079-6667-4E0C-9AEC-5229C66DF330}">
      <text>
        <r>
          <rPr>
            <sz val="9"/>
            <color indexed="81"/>
            <rFont val="Tahoma"/>
            <family val="2"/>
          </rPr>
          <t>Enter clarification comments, if necessary.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Joe Garofalo</author>
  </authors>
  <commentList>
    <comment ref="A4" authorId="0" shapeId="0" xr:uid="{A0793436-4BA2-4360-850F-A907A1B3DFAC}">
      <text>
        <r>
          <rPr>
            <sz val="9"/>
            <color indexed="81"/>
            <rFont val="Tahoma"/>
            <family val="2"/>
          </rPr>
          <t xml:space="preserve">Write sequential Revision Number.
Digits prior to decimal are for </t>
        </r>
        <r>
          <rPr>
            <b/>
            <sz val="9"/>
            <color indexed="81"/>
            <rFont val="Tahoma"/>
            <family val="2"/>
          </rPr>
          <t>major</t>
        </r>
        <r>
          <rPr>
            <sz val="9"/>
            <color indexed="81"/>
            <rFont val="Tahoma"/>
            <family val="2"/>
          </rPr>
          <t xml:space="preserve"> revisions that affect Scope of Work, Schedule, and/or Costs (Project and/or Product).  
Digits after the decimal are for </t>
        </r>
        <r>
          <rPr>
            <b/>
            <sz val="9"/>
            <color indexed="81"/>
            <rFont val="Tahoma"/>
            <family val="2"/>
          </rPr>
          <t>minor</t>
        </r>
        <r>
          <rPr>
            <sz val="9"/>
            <color indexed="81"/>
            <rFont val="Tahoma"/>
            <family val="2"/>
          </rPr>
          <t xml:space="preserve"> revisions that affect Scope of Work, Schedule, and/or Costs (Project and/or Product).
For each </t>
        </r>
        <r>
          <rPr>
            <b/>
            <sz val="9"/>
            <color indexed="81"/>
            <rFont val="Tahoma"/>
            <family val="2"/>
          </rPr>
          <t>major</t>
        </r>
        <r>
          <rPr>
            <sz val="9"/>
            <color indexed="81"/>
            <rFont val="Tahoma"/>
            <family val="2"/>
          </rPr>
          <t xml:space="preserve"> revision a new tab should be initiated by copying the latest and modifying it accordingly.</t>
        </r>
      </text>
    </comment>
    <comment ref="A7" authorId="0" shapeId="0" xr:uid="{BB5BF25F-9095-4EF3-B8F7-6772F9667025}">
      <text>
        <r>
          <rPr>
            <sz val="9"/>
            <color indexed="81"/>
            <rFont val="Tahoma"/>
            <family val="2"/>
          </rPr>
          <t>Write next sequential number.</t>
        </r>
      </text>
    </comment>
    <comment ref="B7" authorId="0" shapeId="0" xr:uid="{755A562F-305B-4576-9822-DFD71D04AC79}">
      <text>
        <r>
          <rPr>
            <sz val="9"/>
            <color indexed="81"/>
            <rFont val="Tahoma"/>
            <family val="2"/>
          </rPr>
          <t>Enter a Category name and be consistent in the categorization.
Category serves to group requirements that are commonly related.
Category could be Stakeholders, Market Segments, Regulation, Agencies, Use Cases, Functions, Departments, etc.</t>
        </r>
      </text>
    </comment>
    <comment ref="C7" authorId="0" shapeId="0" xr:uid="{92462F65-68DF-4AE1-9DB9-343CBFC2A2A1}">
      <text>
        <r>
          <rPr>
            <sz val="9"/>
            <color indexed="81"/>
            <rFont val="Tahoma"/>
            <family val="2"/>
          </rPr>
          <t xml:space="preserve">Describe the "How" a specific or group of product requirements will be addressed technically.
</t>
        </r>
      </text>
    </comment>
    <comment ref="D7" authorId="0" shapeId="0" xr:uid="{91447989-E08B-46D4-9467-859A6AD563F8}">
      <text>
        <r>
          <rPr>
            <sz val="9"/>
            <color indexed="81"/>
            <rFont val="Tahoma"/>
            <family val="2"/>
          </rPr>
          <t>When applicable:
Insert a figure (picture, drawing, sketch, etc.…) in the "Figures" tab, then create the figure title under the figure, then create a link to the figure title in the respective cell.</t>
        </r>
      </text>
    </comment>
    <comment ref="E7" authorId="0" shapeId="0" xr:uid="{A408AAC0-4849-4DD3-9783-61DD8028ACC8}">
      <text>
        <r>
          <rPr>
            <sz val="9"/>
            <color indexed="81"/>
            <rFont val="Tahoma"/>
            <family val="2"/>
          </rPr>
          <t>Write the PRD ID(s) to which this TRD ID relates to (satisfies at some level).  
The relationship could be Strong, Medium, or Weak.</t>
        </r>
      </text>
    </comment>
    <comment ref="F7" authorId="0" shapeId="0" xr:uid="{C4FDC922-8553-4AAF-B056-B4C410707638}">
      <text>
        <r>
          <rPr>
            <sz val="9"/>
            <color indexed="81"/>
            <rFont val="Tahoma"/>
            <family val="2"/>
          </rPr>
          <t xml:space="preserve">Enter name of "Owner" responsible to assure requirement is implemented.
</t>
        </r>
      </text>
    </comment>
    <comment ref="G7" authorId="0" shapeId="0" xr:uid="{EF6D12C8-6F9F-43E2-9299-CD46756ED79C}">
      <text>
        <r>
          <rPr>
            <sz val="9"/>
            <color indexed="81"/>
            <rFont val="Tahoma"/>
            <family val="2"/>
          </rPr>
          <t>Enter clarification comments, if necessary.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Joe Garofalo</author>
    <author>Dan Cross</author>
  </authors>
  <commentList>
    <comment ref="A4" authorId="0" shapeId="0" xr:uid="{B366B581-CB8D-437F-9E8A-D1FAABEB02F5}">
      <text>
        <r>
          <rPr>
            <sz val="9"/>
            <color indexed="81"/>
            <rFont val="Tahoma"/>
            <family val="2"/>
          </rPr>
          <t xml:space="preserve">Write sequential Revision Number.
Digits prior to decimal are for </t>
        </r>
        <r>
          <rPr>
            <b/>
            <sz val="9"/>
            <color indexed="81"/>
            <rFont val="Tahoma"/>
            <family val="2"/>
          </rPr>
          <t>major</t>
        </r>
        <r>
          <rPr>
            <sz val="9"/>
            <color indexed="81"/>
            <rFont val="Tahoma"/>
            <family val="2"/>
          </rPr>
          <t xml:space="preserve"> revisions that affect Scope of Work, Schedule, and/or Costs (Project and/or Product).  
Digits after the decimal are for </t>
        </r>
        <r>
          <rPr>
            <b/>
            <sz val="9"/>
            <color indexed="81"/>
            <rFont val="Tahoma"/>
            <family val="2"/>
          </rPr>
          <t>minor</t>
        </r>
        <r>
          <rPr>
            <sz val="9"/>
            <color indexed="81"/>
            <rFont val="Tahoma"/>
            <family val="2"/>
          </rPr>
          <t xml:space="preserve"> revisions that affect Scope of Work, Schedule, and/or Costs (Project and/or Product).
For each </t>
        </r>
        <r>
          <rPr>
            <b/>
            <sz val="9"/>
            <color indexed="81"/>
            <rFont val="Tahoma"/>
            <family val="2"/>
          </rPr>
          <t>major</t>
        </r>
        <r>
          <rPr>
            <sz val="9"/>
            <color indexed="81"/>
            <rFont val="Tahoma"/>
            <family val="2"/>
          </rPr>
          <t xml:space="preserve"> revision a new tab should be initiated by copying the latest and modifying it accordingly.</t>
        </r>
      </text>
    </comment>
    <comment ref="E7" authorId="1" shapeId="0" xr:uid="{795E310C-A242-46CE-8085-8610121DC9F1}">
      <text>
        <r>
          <rPr>
            <b/>
            <sz val="9"/>
            <color indexed="81"/>
            <rFont val="Tahoma"/>
            <family val="2"/>
          </rPr>
          <t>Dan Cross:Requirement belongs to future functionality not currently supported.</t>
        </r>
      </text>
    </comment>
    <comment ref="F7" authorId="0" shapeId="0" xr:uid="{46AB3E77-FE47-46A3-B5C4-2E8D6164A33E}">
      <text>
        <r>
          <rPr>
            <sz val="9"/>
            <color indexed="81"/>
            <rFont val="Tahoma"/>
            <family val="2"/>
          </rPr>
          <t>Write the PRD ID(s) to which this TRD relates (satisfies at some level).  
The relationship could be Strong, Medium, or Weak.</t>
        </r>
      </text>
    </comment>
    <comment ref="G7" authorId="0" shapeId="0" xr:uid="{0CDBD589-A333-4568-B66A-EB1A1832D80C}">
      <text>
        <r>
          <rPr>
            <sz val="9"/>
            <color indexed="81"/>
            <rFont val="Tahoma"/>
            <family val="2"/>
          </rPr>
          <t xml:space="preserve">Enter name of "Owner" responsible to assure requirement is implemented.
</t>
        </r>
      </text>
    </comment>
    <comment ref="H7" authorId="0" shapeId="0" xr:uid="{522320A5-EC3A-4D05-B620-F62AE434DAC4}">
      <text>
        <r>
          <rPr>
            <sz val="9"/>
            <color indexed="81"/>
            <rFont val="Tahoma"/>
            <family val="2"/>
          </rPr>
          <t>Enter clarification comments, if necessary.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Joe Garofalo</author>
  </authors>
  <commentList>
    <comment ref="A4" authorId="0" shapeId="0" xr:uid="{42CC3F9E-59C4-46C7-9E73-A7313590601E}">
      <text>
        <r>
          <rPr>
            <sz val="9"/>
            <color indexed="81"/>
            <rFont val="Tahoma"/>
            <family val="2"/>
          </rPr>
          <t xml:space="preserve">Write sequential Revision Number.
Digits prior to decimal are for </t>
        </r>
        <r>
          <rPr>
            <b/>
            <sz val="9"/>
            <color indexed="81"/>
            <rFont val="Tahoma"/>
            <family val="2"/>
          </rPr>
          <t>major</t>
        </r>
        <r>
          <rPr>
            <sz val="9"/>
            <color indexed="81"/>
            <rFont val="Tahoma"/>
            <family val="2"/>
          </rPr>
          <t xml:space="preserve"> revisions that affect Scope of Work, Schedule, and/or Costs (Project and/or Product).  
Digits after the decimal are for </t>
        </r>
        <r>
          <rPr>
            <b/>
            <sz val="9"/>
            <color indexed="81"/>
            <rFont val="Tahoma"/>
            <family val="2"/>
          </rPr>
          <t>minor</t>
        </r>
        <r>
          <rPr>
            <sz val="9"/>
            <color indexed="81"/>
            <rFont val="Tahoma"/>
            <family val="2"/>
          </rPr>
          <t xml:space="preserve"> revisions that affect Scope of Work, Schedule, and/or Costs (Project and/or Product).
For each </t>
        </r>
        <r>
          <rPr>
            <b/>
            <sz val="9"/>
            <color indexed="81"/>
            <rFont val="Tahoma"/>
            <family val="2"/>
          </rPr>
          <t>major</t>
        </r>
        <r>
          <rPr>
            <sz val="9"/>
            <color indexed="81"/>
            <rFont val="Tahoma"/>
            <family val="2"/>
          </rPr>
          <t xml:space="preserve"> revision a new tab should be initiated by copying the latest and modifying it accordingly.</t>
        </r>
      </text>
    </comment>
    <comment ref="A7" authorId="0" shapeId="0" xr:uid="{A8DC0FED-4B21-462B-8D51-2FE875ABBCF6}">
      <text>
        <r>
          <rPr>
            <sz val="9"/>
            <color indexed="81"/>
            <rFont val="Tahoma"/>
            <family val="2"/>
          </rPr>
          <t>Write next sequential number.</t>
        </r>
      </text>
    </comment>
    <comment ref="B7" authorId="0" shapeId="0" xr:uid="{36E3162C-5C1A-4B11-A6F4-36DB1DC427DE}">
      <text>
        <r>
          <rPr>
            <sz val="9"/>
            <color indexed="81"/>
            <rFont val="Tahoma"/>
            <family val="2"/>
          </rPr>
          <t>Enter a Category name and be consistent in the categorization.
Category serves to group requirements that are commonly related.
Category could be Stakeholders, Market Segments, Regulation, Agencies, Use Cases, Functions, Departments, etc.</t>
        </r>
      </text>
    </comment>
    <comment ref="C7" authorId="0" shapeId="0" xr:uid="{C934FE75-4C49-4C80-A04D-800D8955D13E}">
      <text>
        <r>
          <rPr>
            <sz val="9"/>
            <color indexed="81"/>
            <rFont val="Tahoma"/>
            <family val="2"/>
          </rPr>
          <t xml:space="preserve">Describe the "How" a specific or group of product requirements will be addressed technically.
</t>
        </r>
      </text>
    </comment>
    <comment ref="D7" authorId="0" shapeId="0" xr:uid="{C47347FC-D8BF-4995-B066-8E8E4BA0597A}">
      <text>
        <r>
          <rPr>
            <sz val="9"/>
            <color indexed="81"/>
            <rFont val="Tahoma"/>
            <family val="2"/>
          </rPr>
          <t>When applicable:
Insert a figure (picture, drawing, sketch, etc.…) in the "Figures" tab, then create the figure title under the figure, then create a link to the figure title in the respective cell.</t>
        </r>
      </text>
    </comment>
    <comment ref="E7" authorId="0" shapeId="0" xr:uid="{7FA29342-EDBF-404E-804E-1FEF6FA5DA43}">
      <text>
        <r>
          <rPr>
            <sz val="9"/>
            <color indexed="81"/>
            <rFont val="Tahoma"/>
            <family val="2"/>
          </rPr>
          <t>Write the PRD ID(s) to which this TRD ID relates to (satisfies at some level).  
The relationship could be Strong, Medium, or Weak.</t>
        </r>
      </text>
    </comment>
    <comment ref="F7" authorId="0" shapeId="0" xr:uid="{9C84F7DE-BA58-45C9-A493-B2C4D3592EC8}">
      <text>
        <r>
          <rPr>
            <sz val="9"/>
            <color indexed="81"/>
            <rFont val="Tahoma"/>
            <family val="2"/>
          </rPr>
          <t xml:space="preserve">Enter name of "Owner" responsible to assure requirement is implemented.
</t>
        </r>
      </text>
    </comment>
    <comment ref="G7" authorId="0" shapeId="0" xr:uid="{66F691C3-E43D-4D81-BA7C-D1DB5A2870C3}">
      <text>
        <r>
          <rPr>
            <sz val="9"/>
            <color indexed="81"/>
            <rFont val="Tahoma"/>
            <family val="2"/>
          </rPr>
          <t>Enter clarification comments, if necessary.</t>
        </r>
      </text>
    </comment>
  </commentList>
</comments>
</file>

<file path=xl/sharedStrings.xml><?xml version="1.0" encoding="utf-8"?>
<sst xmlns="http://schemas.openxmlformats.org/spreadsheetml/2006/main" count="5796" uniqueCount="1590">
  <si>
    <t>Title:</t>
  </si>
  <si>
    <t>Technical Requirements Document (TRD) Template</t>
  </si>
  <si>
    <t>Document Type:</t>
  </si>
  <si>
    <t>Form</t>
  </si>
  <si>
    <t>Document Number:</t>
  </si>
  <si>
    <t>FRM-ENG-002</t>
  </si>
  <si>
    <t>Version:</t>
  </si>
  <si>
    <t>1.0</t>
  </si>
  <si>
    <t>Effective Date:</t>
  </si>
  <si>
    <t>Owning Department</t>
  </si>
  <si>
    <t>Engineering</t>
  </si>
  <si>
    <t>Revision History:</t>
  </si>
  <si>
    <t>Doc. Revision</t>
  </si>
  <si>
    <t>Revision Date</t>
  </si>
  <si>
    <t>ECN No.</t>
  </si>
  <si>
    <t>Description of Change</t>
  </si>
  <si>
    <t>N/A</t>
  </si>
  <si>
    <t>Initial Release</t>
  </si>
  <si>
    <t>Approvals:</t>
  </si>
  <si>
    <t>This document requires the following approvals:</t>
  </si>
  <si>
    <t>Name</t>
  </si>
  <si>
    <t>Title</t>
  </si>
  <si>
    <t>Joe Garofalo</t>
  </si>
  <si>
    <t>Author, Senior Engineering Project Manager</t>
  </si>
  <si>
    <t>Sherre Staves</t>
  </si>
  <si>
    <t>SVP of Engineering</t>
  </si>
  <si>
    <t>*Please Remove This Sheet When Using Template*</t>
  </si>
  <si>
    <t>Change Log for the Technical Requirements Document</t>
  </si>
  <si>
    <t>Project Name</t>
  </si>
  <si>
    <t>Safety 2.0</t>
  </si>
  <si>
    <t>Project Code</t>
  </si>
  <si>
    <t>NPD004</t>
  </si>
  <si>
    <t>Change Number</t>
  </si>
  <si>
    <t>Date</t>
  </si>
  <si>
    <t>Doc Rev</t>
  </si>
  <si>
    <t xml:space="preserve">Change Description
</t>
  </si>
  <si>
    <t>Approvers of the Change</t>
  </si>
  <si>
    <t>Comments</t>
  </si>
  <si>
    <t>Initial Release.</t>
  </si>
  <si>
    <t>1.1</t>
  </si>
  <si>
    <t>Updated initial release for re-started project</t>
  </si>
  <si>
    <t>D Cross</t>
  </si>
  <si>
    <t>Added LBI Status byte memory hold and clear requirements
Added IR/LF combined field behavior</t>
  </si>
  <si>
    <t>Added TR-LBILBS-54, TR-LBILBS-55, TR-IR-37, TR-IR-38</t>
  </si>
  <si>
    <t>Added RF Repeater section. Added SS mode vs Regular mode behavior.</t>
  </si>
  <si>
    <t>Added new configuration requirements</t>
  </si>
  <si>
    <t>Aligning configuration requirements with existing profile configuration settings on server for IT-728 and Andromeda Staff Badge (BLE settings)</t>
  </si>
  <si>
    <t xml:space="preserve"> </t>
  </si>
  <si>
    <t>Technical Requirements Document</t>
  </si>
  <si>
    <t>Approvers for TRD</t>
  </si>
  <si>
    <t>Safety 2.0 Badges</t>
  </si>
  <si>
    <t>Engineering SVP</t>
  </si>
  <si>
    <t>Engineer</t>
  </si>
  <si>
    <t>Brian Furr</t>
  </si>
  <si>
    <t>Product Manager</t>
  </si>
  <si>
    <t>Nick Adriance</t>
  </si>
  <si>
    <t>Lachezar Dimitrov</t>
  </si>
  <si>
    <t>Revision Number</t>
  </si>
  <si>
    <t>Technical Team Leader(s)</t>
  </si>
  <si>
    <t>Socka Andiappan</t>
  </si>
  <si>
    <t>Project Manager</t>
  </si>
  <si>
    <t>Yamen Alimam</t>
  </si>
  <si>
    <t>TRD ID</t>
  </si>
  <si>
    <t>Category</t>
  </si>
  <si>
    <t>Technical Requirement Description</t>
  </si>
  <si>
    <t>Figure(s) Link</t>
  </si>
  <si>
    <t>PRD Relationship</t>
  </si>
  <si>
    <t>Owner 
(Actual Team Member Name or Function)</t>
  </si>
  <si>
    <t>TRD-001</t>
  </si>
  <si>
    <t>Mechanical</t>
  </si>
  <si>
    <t>The product should be based on the existing LW/MDT enclosure.</t>
  </si>
  <si>
    <t>PRD-001</t>
  </si>
  <si>
    <t>LW-LoneWorker. MDT- Man Down Tag</t>
  </si>
  <si>
    <t>TRD-002</t>
  </si>
  <si>
    <t>The pull cord mechanism should be opersted with force 1kg&lt;F&lt;2kg</t>
  </si>
  <si>
    <t>PRD-009, PRD-010</t>
  </si>
  <si>
    <t>TRD-003</t>
  </si>
  <si>
    <t>The PCB mechanics should be bsed on the MDT PCB. The changes in the layout should be approved by a mechanical engineer</t>
  </si>
  <si>
    <t>TRD-004</t>
  </si>
  <si>
    <t>Testing, programming and integration of the tag should be with the existing production jigs plus the respective modification. TBD</t>
  </si>
  <si>
    <t>PRD-001
PRD-004</t>
  </si>
  <si>
    <t>LD: If it is difficult to acheive new jigs could be developed.</t>
  </si>
  <si>
    <t>TRD-005</t>
  </si>
  <si>
    <t>Hardware</t>
  </si>
  <si>
    <t xml:space="preserve">The product should be based on the current MDT schematics with additional modifications for the UHF, RF matching, RF antenna, IR receiver instead of IR transmitter. </t>
  </si>
  <si>
    <t>TRD-006</t>
  </si>
  <si>
    <t xml:space="preserve">UHF modification. RF antenna and RF matching cirquit to be modified for 900 mhz. To be considered PCB printed antenna or chip antenna. 
RF matching cirquit could be with discrete components
</t>
  </si>
  <si>
    <t>TRD-007</t>
  </si>
  <si>
    <t>Replacing IR receiver instead of IR transmitter. IR receiver cirquit to be modified for low current consumption by external MOS-FET transistor.</t>
  </si>
  <si>
    <t>PRD-005</t>
  </si>
  <si>
    <t>TRD-008</t>
  </si>
  <si>
    <r>
      <rPr>
        <sz val="10"/>
        <color rgb="FF000000"/>
        <rFont val="Arial"/>
        <family val="2"/>
      </rPr>
      <t>Replace MCU with</t>
    </r>
    <r>
      <rPr>
        <b/>
        <sz val="10"/>
        <color rgb="FF000000"/>
        <rFont val="Arial"/>
        <family val="2"/>
      </rPr>
      <t xml:space="preserve"> bigger memory - CC1352P7.</t>
    </r>
  </si>
  <si>
    <t>PRD-002</t>
  </si>
  <si>
    <t>TRD-009</t>
  </si>
  <si>
    <t>To be evaluated schematic variants for charging the battery and supercaps:
- existin in MDT
- based on MM tag 
- new IC from TI for that purpose</t>
  </si>
  <si>
    <t>PRD-015</t>
  </si>
  <si>
    <t>TRD-010</t>
  </si>
  <si>
    <t>Firmware</t>
  </si>
  <si>
    <t xml:space="preserve">The MM tag firmware should be modified and all new features to be implemented:
- 3 buttons 
- pull cord
- tilt </t>
  </si>
  <si>
    <t>PRD-002, PRD-009 to
PRD-011</t>
  </si>
  <si>
    <t>TRD-011</t>
  </si>
  <si>
    <t>The new states Tilt and Fallen also should be implemented using an accelerometer. The code for the Sensor Controller from the current Man Down Wi-Fi tag can be used like a template.</t>
  </si>
  <si>
    <t>PRD-012
PRD-013
PRD-014</t>
  </si>
  <si>
    <t>TRD-012</t>
  </si>
  <si>
    <t>If all tasks of the Sensor Controler can't be used the implementation should be done differently using the main MCU.</t>
  </si>
  <si>
    <t>PRD-012</t>
  </si>
  <si>
    <t>TRD-013</t>
  </si>
  <si>
    <t>The new events and notification bits should be implemented according to the current Centrak protocol.</t>
  </si>
  <si>
    <t>TRD-014</t>
  </si>
  <si>
    <t>The motion detection should be implemented using the accelerometer or with the old motion sensor SQ-SEN-200-CTR. Prefered method - combined logic using the accelerometer. TBD.</t>
  </si>
  <si>
    <t>Motion detection can be implemented motion sensor and Accelerometer</t>
  </si>
  <si>
    <t>TRD-015</t>
  </si>
  <si>
    <t>Over the air update of the firmware - BLE or WiFi. TBD.</t>
  </si>
  <si>
    <t>Can be supported</t>
  </si>
  <si>
    <t>TRD-016</t>
  </si>
  <si>
    <t>Maximum latency for event notifications. TBD. The current connection timeout for Generic WiFI is 2.5s.</t>
  </si>
  <si>
    <t>PRD-010
PRD-011
PRD-012</t>
  </si>
  <si>
    <t>When Tag in UHF event notification will be less than 2 secs.</t>
  </si>
  <si>
    <t>TRD-017</t>
  </si>
  <si>
    <t>Perform battery life measurements and calculation. Min 6 months battery life</t>
  </si>
  <si>
    <t> </t>
  </si>
  <si>
    <t>TRD-018</t>
  </si>
  <si>
    <t>Software</t>
  </si>
  <si>
    <t>Current provisioning of the tag to be evaluaued and updated</t>
  </si>
  <si>
    <t>Evaluae current consumption for different operations of Tag (Ex:
RF, IR, LF, WIFI, Buzzer, LED, Sleep Mode)</t>
  </si>
  <si>
    <t>TRD-019</t>
  </si>
  <si>
    <t>Must be compatible with CenTrak CoreServer.</t>
  </si>
  <si>
    <t>Existing integration between CenTral CoreServer to SSUI and  CoreServer to Omni will be comtinued</t>
  </si>
  <si>
    <t>TRD-020</t>
  </si>
  <si>
    <r>
      <t>Create BSP (Board Support Package)</t>
    </r>
    <r>
      <rPr>
        <sz val="10"/>
        <color rgb="FF000000"/>
        <rFont val="Arial"/>
        <family val="2"/>
      </rPr>
      <t xml:space="preserve"> to verify each Hardware Modules functionality befofe go for Regular Firmware Testing</t>
    </r>
  </si>
  <si>
    <t>TRD-021</t>
  </si>
  <si>
    <r>
      <t>Port Multimode Mini Tag firmware in Staff Safety Pendant</t>
    </r>
    <r>
      <rPr>
        <sz val="10"/>
        <color rgb="FF000000"/>
        <rFont val="Arial"/>
        <family val="2"/>
      </rPr>
      <t>: Review the schematic and verity the IO changes and also remove the unsupported peripherals related code (Ex Proximity)</t>
    </r>
  </si>
  <si>
    <t>TRD-022</t>
  </si>
  <si>
    <r>
      <rPr>
        <b/>
        <sz val="10"/>
        <color rgb="FF000000"/>
        <rFont val="Arial"/>
        <family val="2"/>
      </rPr>
      <t>New DeviceType for CenTrakShield:</t>
    </r>
    <r>
      <rPr>
        <sz val="10"/>
        <color rgb="FF000000"/>
        <rFont val="Arial"/>
        <family val="2"/>
      </rPr>
      <t xml:space="preserve"> Craete a new device type for this Tag in Orion</t>
    </r>
    <r>
      <rPr>
        <b/>
        <sz val="10"/>
        <color rgb="FFFF0000"/>
        <rFont val="Arial"/>
        <family val="2"/>
      </rPr>
      <t xml:space="preserve">/Pegasus </t>
    </r>
    <r>
      <rPr>
        <sz val="10"/>
        <color rgb="FF000000"/>
        <rFont val="Arial"/>
        <family val="2"/>
      </rPr>
      <t xml:space="preserve"> platform So that it will be uniquely identified in CoreServer and Pulse</t>
    </r>
  </si>
  <si>
    <t>PRD-004</t>
  </si>
  <si>
    <t>Confirm regarding Pegasus
In Orion we have allocated 1 byte for device Type.  So we provide dedicated device type for every new devices.
But in Pegasus, we have limited devices types (allocated 3 only bits).  So we will not provide new device type for Pegasus.   This will use existing device type for patient.</t>
  </si>
  <si>
    <t>TRD-023</t>
  </si>
  <si>
    <r>
      <t>IR Reception:</t>
    </r>
    <r>
      <rPr>
        <sz val="10"/>
        <color rgb="FF000000"/>
        <rFont val="Arial"/>
        <family val="2"/>
      </rPr>
      <t xml:space="preserve"> Make sure that the Staff Safety Pendant is receivng CenTrak IR from Monitor / VW / Mini Monitor </t>
    </r>
  </si>
  <si>
    <t>TRD-024</t>
  </si>
  <si>
    <r>
      <t>LF Reception:</t>
    </r>
    <r>
      <rPr>
        <sz val="10"/>
        <color rgb="FF000000"/>
        <rFont val="Arial"/>
        <family val="2"/>
      </rPr>
      <t xml:space="preserve"> Make sure that the Staff Safety Pendant is receiving CenTrak LF (DIMs / LF Exciter)</t>
    </r>
  </si>
  <si>
    <t>PRD-006</t>
  </si>
  <si>
    <t>TRD-025</t>
  </si>
  <si>
    <t>Server</t>
  </si>
  <si>
    <r>
      <rPr>
        <b/>
        <sz val="10"/>
        <color rgb="FF000000"/>
        <rFont val="Arial"/>
        <family val="2"/>
      </rPr>
      <t xml:space="preserve">Server: </t>
    </r>
    <r>
      <rPr>
        <sz val="10"/>
        <color rgb="FF000000"/>
        <rFont val="Arial"/>
        <family val="2"/>
      </rPr>
      <t>Update Orion / Pegasus Server to support this new hardware
 a) Profile configuration via CoreConfig and Corelist
 b) Packet Parsing
 c) Activelist and Liveview Updates
 d) External Stream Update
 e) Command
 f) Wireless Upgrade</t>
    </r>
  </si>
  <si>
    <t>TRD-026</t>
  </si>
  <si>
    <r>
      <t>Star Firmware:</t>
    </r>
    <r>
      <rPr>
        <sz val="10"/>
        <color rgb="FF000000"/>
        <rFont val="Arial"/>
        <family val="2"/>
      </rPr>
      <t xml:space="preserve"> Make sure that the Star can handle all communication with Staff Safety Pendant.
 a) Paging and Location Packets
 b) Wireless upgrade
 c) Comamnds</t>
    </r>
  </si>
  <si>
    <t>TRD-027</t>
  </si>
  <si>
    <t>Web</t>
  </si>
  <si>
    <r>
      <rPr>
        <b/>
        <sz val="10"/>
        <color rgb="FF000000"/>
        <rFont val="Arial"/>
        <family val="2"/>
      </rPr>
      <t xml:space="preserve">SSUI: </t>
    </r>
    <r>
      <rPr>
        <sz val="10"/>
        <color rgb="FF000000"/>
        <rFont val="Arial"/>
        <family val="2"/>
      </rPr>
      <t>Update SSUI to support this new hardware</t>
    </r>
  </si>
  <si>
    <t>TRD-028</t>
  </si>
  <si>
    <r>
      <t xml:space="preserve">Pulse: </t>
    </r>
    <r>
      <rPr>
        <sz val="10"/>
        <color rgb="FF000000"/>
        <rFont val="Arial"/>
        <family val="2"/>
      </rPr>
      <t>Update Pulse to support the Staff Safety Pendant
 a) Summary, Details view
 b) Battery Algorithm and bin Placement</t>
    </r>
  </si>
  <si>
    <t>TRD-029</t>
  </si>
  <si>
    <r>
      <t xml:space="preserve">Sleep Current Test: </t>
    </r>
    <r>
      <rPr>
        <sz val="10"/>
        <color rgb="FF000000"/>
        <rFont val="Arial"/>
        <family val="2"/>
      </rPr>
      <t>Create a test application to verify the minimum sleep current we can achieve.</t>
    </r>
  </si>
  <si>
    <t>TRD-030</t>
  </si>
  <si>
    <r>
      <t xml:space="preserve">Functional Test Software: </t>
    </r>
    <r>
      <rPr>
        <sz val="10"/>
        <color rgb="FF000000"/>
        <rFont val="Arial"/>
        <family val="2"/>
      </rPr>
      <t>Update Functional Test firmware to support this new hardware and also check all the key functionality (RF, WIFI, IR, LF, Motion, LED, Buzzer, Accelometer, Pullcord, Keys)</t>
    </r>
  </si>
  <si>
    <t>TRD-031</t>
  </si>
  <si>
    <r>
      <t xml:space="preserve">System Test Software: </t>
    </r>
    <r>
      <rPr>
        <sz val="10"/>
        <color rgb="FF000000"/>
        <rFont val="Arial"/>
        <family val="2"/>
      </rPr>
      <t>Update System Test PCServer to support this new Device Type and verify all the key functionalites in System Test Process.</t>
    </r>
  </si>
  <si>
    <t>TRD-032</t>
  </si>
  <si>
    <r>
      <t>CE, FCC &amp; RCM Software:</t>
    </r>
    <r>
      <rPr>
        <sz val="10"/>
        <color rgb="FF000000"/>
        <rFont val="Arial"/>
        <family val="2"/>
      </rPr>
      <t xml:space="preserve"> Update CE / FCC / RCM software to support Mandown Hardware - Requires some IO changes</t>
    </r>
  </si>
  <si>
    <t>PRD-018 to PRD-025</t>
  </si>
  <si>
    <t>TRD-033</t>
  </si>
  <si>
    <r>
      <t>Pullcord:</t>
    </r>
    <r>
      <rPr>
        <sz val="10"/>
        <color rgb="FF000000"/>
        <rFont val="Arial"/>
        <family val="2"/>
      </rPr>
      <t xml:space="preserve"> Implement Pullcord event behaviour: Whenever the pullcord is pulled, raise an alert event and notify this to the CoreServer in less than 2 secs.</t>
    </r>
  </si>
  <si>
    <t>PRD-009</t>
  </si>
  <si>
    <t>TRD-034</t>
  </si>
  <si>
    <r>
      <t>Key Press Events:</t>
    </r>
    <r>
      <rPr>
        <sz val="10"/>
        <color rgb="FF000000"/>
        <rFont val="Arial"/>
        <family val="2"/>
      </rPr>
      <t xml:space="preserve"> Implement Key press event behaviour: Whenever key is pressed notify this to the Core Server in less than 2 secs.</t>
    </r>
  </si>
  <si>
    <t>PRD-011</t>
  </si>
  <si>
    <t>TRD-035</t>
  </si>
  <si>
    <r>
      <t>Tilt-Fall Detection:</t>
    </r>
    <r>
      <rPr>
        <sz val="10"/>
        <color rgb="FF000000"/>
        <rFont val="Arial"/>
        <family val="2"/>
      </rPr>
      <t xml:space="preserve"> Implement Tilt detection using Accelerometer to raise an alert event and notify this to Core Server in less than 2 secs.</t>
    </r>
  </si>
  <si>
    <t>TRD-036</t>
  </si>
  <si>
    <t>To comply ATEX requirements inject the enclosure with antistatic aditive</t>
  </si>
  <si>
    <t>PRD-026</t>
  </si>
  <si>
    <t>TRD-037</t>
  </si>
  <si>
    <t>Produce 3  development jigs for the SW Team, Newtown and BG.</t>
  </si>
  <si>
    <t>TRD-038</t>
  </si>
  <si>
    <t>Perform IP 67 testing ot the enclosure</t>
  </si>
  <si>
    <t>PRD-003</t>
  </si>
  <si>
    <t>TRD-039</t>
  </si>
  <si>
    <t xml:space="preserve">Environmental </t>
  </si>
  <si>
    <t>Temperature operation -30C to 60C. 
Humidity: 95%</t>
  </si>
  <si>
    <t>PRD-007</t>
  </si>
  <si>
    <t>TRD-040</t>
  </si>
  <si>
    <t>Ability to withstand shock and drop of 1.5m height onto a concrete surfsace.</t>
  </si>
  <si>
    <t>PRD-008</t>
  </si>
  <si>
    <t>TRD-041</t>
  </si>
  <si>
    <t>Target cost</t>
  </si>
  <si>
    <t>Be minded for factors increasing/reducing the target cost</t>
  </si>
  <si>
    <t>PRD-016
PRD-017</t>
  </si>
  <si>
    <t>TRD-042</t>
  </si>
  <si>
    <t>Certification</t>
  </si>
  <si>
    <t xml:space="preserve">Update CE, FCC &amp; RCM Software to support SecureSafety Bracelet HW and the documentation for certification purpoces </t>
  </si>
  <si>
    <t>TRD-043</t>
  </si>
  <si>
    <r>
      <rPr>
        <sz val="10"/>
        <color rgb="FF000000"/>
        <rFont val="Arial"/>
        <family val="2"/>
      </rPr>
      <t xml:space="preserve">Ability to switch between Orion &amp; Pegasus platform via a command.
</t>
    </r>
    <r>
      <rPr>
        <b/>
        <sz val="10"/>
        <color rgb="FF000000"/>
        <rFont val="Arial"/>
        <family val="2"/>
      </rPr>
      <t>Note:</t>
    </r>
    <r>
      <rPr>
        <sz val="10"/>
        <color rgb="FF000000"/>
        <rFont val="Arial"/>
        <family val="2"/>
      </rPr>
      <t xml:space="preserve"> 1st combine the Pegasus and Orion firmware. Also, if we need to switch between Orion &amp; Pegasus, the device ID range must be the Pegasus device ID range (up to 8.3 million)</t>
    </r>
  </si>
  <si>
    <t>Added requirement on 8th March 2023</t>
  </si>
  <si>
    <t>Figure 1</t>
  </si>
  <si>
    <t>Figure 2</t>
  </si>
  <si>
    <t>Safety 2.0 Bracelet</t>
  </si>
  <si>
    <t>TRD Author</t>
  </si>
  <si>
    <t>Dan Cross</t>
  </si>
  <si>
    <t>HW Design Engineer</t>
  </si>
  <si>
    <t>Damian Minev</t>
  </si>
  <si>
    <t>Ash Cunningham</t>
  </si>
  <si>
    <t>FW Design Engineer</t>
  </si>
  <si>
    <t>Dheepamari Neelamegam</t>
  </si>
  <si>
    <t>Shashikumar P R</t>
  </si>
  <si>
    <t>TBD</t>
  </si>
  <si>
    <t>Suite</t>
  </si>
  <si>
    <t>Case</t>
  </si>
  <si>
    <t>Future</t>
  </si>
  <si>
    <t>Band</t>
  </si>
  <si>
    <t>Band_State</t>
  </si>
  <si>
    <t>TR-Band-15</t>
  </si>
  <si>
    <t>Product shall support cut band detection with Rugged Band.</t>
  </si>
  <si>
    <t>TR-Band-16</t>
  </si>
  <si>
    <t>Product shall support cut band detection with Secure Band.</t>
  </si>
  <si>
    <t>TR-Band-26</t>
  </si>
  <si>
    <t>Product shall transmit band closed event to server periodically as long as band is in a closed state.</t>
  </si>
  <si>
    <t>TR-Band-27</t>
  </si>
  <si>
    <t>Product shall transmit band open event to server immediately after a band open event occurs.</t>
  </si>
  <si>
    <t>TR-Band-28</t>
  </si>
  <si>
    <t>Product shall transmit band open event to server immediately after a cut band event occurs.</t>
  </si>
  <si>
    <t>TR-Band-29</t>
  </si>
  <si>
    <t>Product shall transmit band open event to server periodically as long as band is not in a closed state.</t>
  </si>
  <si>
    <t>TR-Band-3</t>
  </si>
  <si>
    <t>Product Secure Band shall use electrical continuity to detect cut/open band event.</t>
  </si>
  <si>
    <t>TR-Band-30</t>
  </si>
  <si>
    <t>Product shall trigger an auto-admit in the SW when the band "closes"</t>
  </si>
  <si>
    <t>TR-Band-31</t>
  </si>
  <si>
    <t>Product Rugged Band shall be comprised of two bands containing internal, electrically conductive, metal strips, with exposed contact points for creating a closed electrical circuit between both connection points of the product housing.</t>
  </si>
  <si>
    <t>TR-Band-32</t>
  </si>
  <si>
    <t>Product Rugged band shall use a metal clasp to establish electrical closed circuit between right and left bracelet bands.</t>
  </si>
  <si>
    <t>TR-Band-33</t>
  </si>
  <si>
    <t>Product Rugged Band shall use electrical continuity to detect clasp open event.</t>
  </si>
  <si>
    <t>TR-Band-34</t>
  </si>
  <si>
    <t>Product Rugged Band shall use electrical continuity to detect cut band event.</t>
  </si>
  <si>
    <t>TR-Band-35</t>
  </si>
  <si>
    <t>Product Secure Band shall be comprised of two bands containing internal, electrically conductive, metal mesh, for creating a closed electrical circuit between both connection points of the product housing.</t>
  </si>
  <si>
    <t>TR-Band-37</t>
  </si>
  <si>
    <t>Product shall immediately enter Safety Solutions (SS) mode when rugged band is closed.
NOTE: Rugged band is closed when clasp is closed and fastened</t>
  </si>
  <si>
    <t>TR-Band-38</t>
  </si>
  <si>
    <t>Product shall immediately enter Safety Solutions (SS) mode when Secure band is closed.
NOTE: Secure band is closed when band lock is fully engaged</t>
  </si>
  <si>
    <t>TR-Band-39</t>
  </si>
  <si>
    <t>Product in inventory sleep state shall immediately wake from inventory sleep state when rugged band is closed.
NOTE: Rugged band is closed when clasp is closed and fastened</t>
  </si>
  <si>
    <t>TR-Band-4</t>
  </si>
  <si>
    <t>Product Secure Band shall use electrical continuity to detect unlock/removal event.</t>
  </si>
  <si>
    <t>TR-Band-40</t>
  </si>
  <si>
    <t>Product in inventory sleep state shall immediately wake from inventory sleep state when Secure band is closed.
NOTE: Secure band is closed when band lock is fully engaged</t>
  </si>
  <si>
    <t>TR-Band-41</t>
  </si>
  <si>
    <t>Product shall remain in SS mode as long as rugged band is closed.
NOTE: Rugged band is closed when clasp is closed and fastened</t>
  </si>
  <si>
    <t>TR-Band-42</t>
  </si>
  <si>
    <t>Product shall remain in SS mode as long as Secure band is closed.
NOTE: Secure band is closed when band lock is fully engaged</t>
  </si>
  <si>
    <t>TR-Band-43</t>
  </si>
  <si>
    <t>Product shall remain in SS mode for 30 minutes (1800s +/-5s) after Rugged band transitions from closed to open.
NOTE: Rugged band open occurs for clasp fastener loosens, clasp opens, band cut, or one or both bands removed from housing.</t>
  </si>
  <si>
    <t>TR-Band-44</t>
  </si>
  <si>
    <t>Product shall remain in SS mode for 30 minutes (1800s +/-5s) after Secure band transitions from closed to open.
NOTE: Secure band open occurs for full or partial unlock of locking mechanism, band cut, or one or both bands removed from housing.</t>
  </si>
  <si>
    <t>TR-Band-45</t>
  </si>
  <si>
    <t>Product shall transition from SS mode to Regular mode 30 minutes (1800s +/-5s) after Rugged band transitions from closed to open.
NOTE: Rugged band open occurs for clasp fastener loosens, clasp opens, band cut, or one or both bands removed from housing.</t>
  </si>
  <si>
    <t>TR-Band-46</t>
  </si>
  <si>
    <t>Product shall transition from SS mode to Regular mode 30 minutes (1800s +/-5s) after Secure band transitions from closed to open.
NOTE: Secure band open occurs for full or partial unlock of locking mechanism, band cut, or one or both bands removed from housing.</t>
  </si>
  <si>
    <t>TR-Band-47</t>
  </si>
  <si>
    <t>Product shall support two modes of behavior based on band closed/opened state:
1. Regular mode
2. Safety Solutions (SS) mode</t>
  </si>
  <si>
    <t>TR-Band-7</t>
  </si>
  <si>
    <t>Product shall immediately transmit band closed event to server as soon as band closed event occurs.</t>
  </si>
  <si>
    <t>TR-Band-8</t>
  </si>
  <si>
    <t>Product shall support band open detection with Rugged Band.</t>
  </si>
  <si>
    <t>TR-Band-9</t>
  </si>
  <si>
    <t>Product shall support band open detection with Secure Band.</t>
  </si>
  <si>
    <t>TR-LOC-3</t>
  </si>
  <si>
    <t>Product shall send periodic location packets to server with the following key value, whenever band is in closed state.
- Key Value: 2, 3</t>
  </si>
  <si>
    <t>TR-LOC-4</t>
  </si>
  <si>
    <t>Product shall send periodic location packets to server with the following key value, whenever band is in open state during the 30 minute period immediately following band open event.
- Key Value: 2, 3, 4</t>
  </si>
  <si>
    <t>TR-Band-1</t>
  </si>
  <si>
    <t>Product assembled with Rugged Band shall withstand up to 10kg of pull force without damage to product or Rugged Band.</t>
  </si>
  <si>
    <t>TR-Band-10</t>
  </si>
  <si>
    <t>Product shall support black Rugged band color option.</t>
  </si>
  <si>
    <t>TR-Band-11</t>
  </si>
  <si>
    <t>Product shall support black Secure band color option.</t>
  </si>
  <si>
    <t>TR-Band-12</t>
  </si>
  <si>
    <t>Product assembled with Rugged Band shall withstand up to 10kg of pull force without resulting in a band open condition.</t>
  </si>
  <si>
    <t>TR-Band-13</t>
  </si>
  <si>
    <t>Product shall support blue-gray (Pantone 550c) Rugged band color option.</t>
  </si>
  <si>
    <t>TR-Band-14</t>
  </si>
  <si>
    <t>Product shall support blue-gray (Pantone 550c) Secure band color option.</t>
  </si>
  <si>
    <t>TR-Band-17</t>
  </si>
  <si>
    <t>Product shall support maroon (Pantone 483c) Rugged band color option.</t>
  </si>
  <si>
    <t>Additional Band Colors</t>
  </si>
  <si>
    <t>TR-Band-18</t>
  </si>
  <si>
    <t>Product shall support maroon (Pantone 483c) Secure band color option.</t>
  </si>
  <si>
    <t>TR-Band-19</t>
  </si>
  <si>
    <t>Product shall support one color option and a black option for the Rugged Band.</t>
  </si>
  <si>
    <t>TR-Band-2</t>
  </si>
  <si>
    <t>Product Secure Band shall use a locking mechanism with plunger apparatus which pierces through and establishes an electrical closed circuit between right and left bracelet band conductive mesh.</t>
  </si>
  <si>
    <t>TR-Band-20</t>
  </si>
  <si>
    <t>Product shall support one color option and a black option for the Secure Band.</t>
  </si>
  <si>
    <t>TR-Band-21</t>
  </si>
  <si>
    <t>Product shall support purple (Pantone 17-3725) Rugged band color option.</t>
  </si>
  <si>
    <t>TR-Band-22</t>
  </si>
  <si>
    <t>Product shall support purple (Pantone 17-3725) Secure band color option.</t>
  </si>
  <si>
    <t>TR-Band-23</t>
  </si>
  <si>
    <t>Product Rugged Band metal clasp shall use a torque-head screw with center post to prevent patients from removing.</t>
  </si>
  <si>
    <t>TR-Band-24</t>
  </si>
  <si>
    <t>Product shall support two additional colors for a total of 3 colors and black for the Rugged Band.</t>
  </si>
  <si>
    <t>TR-Band-25</t>
  </si>
  <si>
    <t>Product shall support two additional colors for a total of 3 colors and black for the Secure Band.</t>
  </si>
  <si>
    <t>TR-Band-36</t>
  </si>
  <si>
    <t>Product Secure band shall require a Centrak-specific locking tool to opperate band locking aparatus.</t>
  </si>
  <si>
    <t>Battery</t>
  </si>
  <si>
    <t>Current_Draw</t>
  </si>
  <si>
    <t>TR-Battery-3</t>
  </si>
  <si>
    <t>Product current draw during factory and inventory sleep states shall be large enough to prevent battery passivation.
NOTE: Applies only if battery used is vulnerable to passivation</t>
  </si>
  <si>
    <t>Damian</t>
  </si>
  <si>
    <t>does this product use batteries vulnerable to passivation.
Validate battery susceptabiity to passivation.</t>
  </si>
  <si>
    <t>TR-Battery-4</t>
  </si>
  <si>
    <t>Product shall be capable of achieving a 12 month battery life under the following conditions:
-Within star coverage, and not paging around 85% of the time
-In motion 80% of the time
-In LF coverage 5% of the time
-In IR coverage 85% of the time
-BLE location advertisements not active</t>
  </si>
  <si>
    <t>TR-Battery-1</t>
  </si>
  <si>
    <t>A tool shall be required to remove an installed battery from the product.</t>
  </si>
  <si>
    <t>TR-Battery-2</t>
  </si>
  <si>
    <t>Product battery shall be replaceable.</t>
  </si>
  <si>
    <t>BLE</t>
  </si>
  <si>
    <t>Capability</t>
  </si>
  <si>
    <t>TR-BLE-12</t>
  </si>
  <si>
    <t>Product BLE shall operate at 1Mbps.</t>
  </si>
  <si>
    <t>TR-BLE-18</t>
  </si>
  <si>
    <t>Product shall continuously transmit BLE connectable advertisements in a forced BLE mode when a "TURN_ON_BLE" command is received from the server over UHF.</t>
  </si>
  <si>
    <t>TR-BLE-19</t>
  </si>
  <si>
    <t>Product shall continuously transmit BLE connectable advertisements in a forced BLE mode when the button is pressed and held for greater than 5 seconds.</t>
  </si>
  <si>
    <t>TR-BLE-22</t>
  </si>
  <si>
    <t>Product shall support activating BLE connectable advertisements and establishing a connection to BLE Mobile app device, when button is pressed and held for 5s.
NOTE1: Method supports FW upgrade from BLE Mobile App scenario
NOTE2: This will be treated as a button press event and a packet will be sent to server</t>
  </si>
  <si>
    <t>TR-BLE-23</t>
  </si>
  <si>
    <t>Product shall support activating BLE connectable advertisements and establishing a connection to BLE Mobile app device, when it receives a BLE activation command from server via UHF.
NOTE: Method supports FW upgrade from BLE Mobile App scenario</t>
  </si>
  <si>
    <t>TR-BLE-24</t>
  </si>
  <si>
    <t>Product shall support BLE button press packets compaitble with the Orion system.</t>
  </si>
  <si>
    <t>BLE Locating</t>
  </si>
  <si>
    <t>TR-BLE-25</t>
  </si>
  <si>
    <t>Product shall support BLE button press packets compaitble with the Pegasus system.</t>
  </si>
  <si>
    <t>TR-BLE-26</t>
  </si>
  <si>
    <t>Product shall support BLE location packets compaitble with the Orion system.</t>
  </si>
  <si>
    <t>TR-BLE-27</t>
  </si>
  <si>
    <t>Product shall support BLE location packets compaitble with the Pegasus system.</t>
  </si>
  <si>
    <t>TR-BLE-31</t>
  </si>
  <si>
    <t>Product shall support Cisco BLE profile.</t>
  </si>
  <si>
    <t>TR-BLE-34</t>
  </si>
  <si>
    <t>Product shall support location over BLE when configured for Multi-Mode, in synchronous mode, and in valid IR field, if "BLE In 900MHz" is enabled.</t>
  </si>
  <si>
    <t>TR-BLE-35</t>
  </si>
  <si>
    <t>Product shall support OTA upgrade packets compatible with Orion system.</t>
  </si>
  <si>
    <t>TR-BLE-36</t>
  </si>
  <si>
    <t>Product shall support OTA upgrade packets compatible with Pegasus system.</t>
  </si>
  <si>
    <t>TR-BLE-37</t>
  </si>
  <si>
    <t>Product shall support profile configuration via Centrak server over BLE.</t>
  </si>
  <si>
    <t>TR-BLE-38</t>
  </si>
  <si>
    <t>Product shall support the following BLE commands from Core Server via BLE AP:
- Inventory Sleep
- Reset
- Set Frequency
- Set Platform (Orion or Pegasus)
- Duress Acknowledgement
- LF Calibration
- Clear LBS Status</t>
  </si>
  <si>
    <t>TR-BLE-39</t>
  </si>
  <si>
    <t>Product shall transmit all BLE advertisement packets on all three BLE advertising channels. 37, 38, 39</t>
  </si>
  <si>
    <t>TR-BLE-4</t>
  </si>
  <si>
    <t>Product shall support BLE TX maximum power level no less than 5dBm in Pegasus.</t>
  </si>
  <si>
    <t>TR-BLE-40</t>
  </si>
  <si>
    <t>Product shall transmit BLE connectible advertisements according to the following configurable duration determined by "Duress TimeOut" when in forced BLE mode:
Duress TimeOut: 30s, 60s, 90s, and 120s</t>
  </si>
  <si>
    <t>TR-BLE-41</t>
  </si>
  <si>
    <t>Product shall transmit BLE connectible advertisements according to the following configurable rate determined by "Duress Rate" when in forced BLE mode:
Duress Rate: 250ms, 500ms, 1s, and 2s</t>
  </si>
  <si>
    <t>TR-BLE-42</t>
  </si>
  <si>
    <t>Product shall use a common, BLE advertisement packet for locating in both Cisco and Polestar BLE configurations.</t>
  </si>
  <si>
    <t>TR-BLE-43</t>
  </si>
  <si>
    <t>Product shall use Polestar NAO Button Press packet for button press transmit in Polestar BLE configuration.</t>
  </si>
  <si>
    <t>TR-BLE-44</t>
  </si>
  <si>
    <t>Product shall use the common, BLE advertisement packet for button press transmit in Cisco BLE configuration.</t>
  </si>
  <si>
    <t>TR-BLE-5</t>
  </si>
  <si>
    <t>Product shall support BLE TX maximum power level no less than 5dBm in Orion.</t>
  </si>
  <si>
    <t>TR-BLE-6</t>
  </si>
  <si>
    <t>Product shall support profile configuration via BLE mobile app.</t>
  </si>
  <si>
    <t>TR-BLE-7</t>
  </si>
  <si>
    <t>Product shall support BLE beaconing at configurable rates.</t>
  </si>
  <si>
    <t>TR-BLE-8</t>
  </si>
  <si>
    <t>Product shall support hardware for BLE 5.1.</t>
  </si>
  <si>
    <t>Packet</t>
  </si>
  <si>
    <t>TR-BLE-10</t>
  </si>
  <si>
    <t>Product 31-byte BLE common location advertisement packet shall contain the following fields:
- Length (1 byte)
- Advertisement Type (1 byte)
- Advertisement Flag (1 byte)
- Data Length (1 byte)
- Data Type (1 byte)
- Unique Identifier (4 bytes)
- Header (1 byte)
- Tag ID (4 bytes)
- Device Type (1 byte)
- FW Version (1 byte)
- HW Version (1 byte)
- Room ID (12 bits)
- Data Index (4 bits)
- Motion Flag (1 bit)
- Sleep Flag (1 bit)
- Sync Status-tag in UHF or not (1 bit)
- LF Flag (1 bit)
- Keys (4 bits)
- Cyclic Command (1 byte)
- Battery Voltage Value (2 bytes)
- Tag Profile (5 bytes)
- LBS Status (1 byte)
- Profile Update Counter (4 bits)
- Platform-Orion or Pegasus (1 bit)
- Connectable/Non-Connectable Beacon (1 bit)
- Free Bits (2 bits)
- Checksum (1 byte)</t>
  </si>
  <si>
    <t>TR-BLE-13</t>
  </si>
  <si>
    <t>Product common location advertisement packet shall set all fixed fields as follows for Orion system:
- Length = 0x02
- Advertisement Type = 0x01
- Advertisement Flag = 0x06
- Data Length = 0x1B
- Data Type = 0x20
- Header = 0x01
- Device Type = 0x1E
- Cyclic Command = 0x07</t>
  </si>
  <si>
    <t>TR-BLE-14</t>
  </si>
  <si>
    <t>Product common location advertisement packet shall set all fixed fields as follows for Pegasus system:
- Length = 0x02
- Advertisement Type = 0x01
- Advertisement Flag = 0x06
- Data Length = 0x1B
- Data Type = 0x20
- Header = 0x01
- Device Type/Sub-Type = 0xE2 (Type=&gt;bits 5-7, Sub-Type=&gt;bits 0-4)
- Cyclic Command = 0x07</t>
  </si>
  <si>
    <t>Dheepamari</t>
  </si>
  <si>
    <t>In pegasus mode, device type field will hold both device type and subtype. Device type is most significant 3 bits and device subtype is least significant 5 bits.</t>
  </si>
  <si>
    <t>Performance</t>
  </si>
  <si>
    <t>TR-BLE-11</t>
  </si>
  <si>
    <t>Product BLE antenna efficiency shall be -10dBi or better.</t>
  </si>
  <si>
    <t>TR-BLE-16</t>
  </si>
  <si>
    <t>Product RX BLE performance shall be reduced by no more than 5% as a result of wearing product on skin as it would be worn by end user.</t>
  </si>
  <si>
    <t>TR-BLE-17</t>
  </si>
  <si>
    <t>Product RX BLE performance shall be reduced by no more than 5% when watch face accessory is installed.</t>
  </si>
  <si>
    <t>TR-BLE-2</t>
  </si>
  <si>
    <t>Product shall support receiving BLE packets with RSSI &gt;= -85dBm in Pegasus</t>
  </si>
  <si>
    <t>TR-BLE-28</t>
  </si>
  <si>
    <t>Product shall support BLE received packet RSSI at BLE AP as follows:
- RSSI &gt;= -85dBm
- BLE AP positioned 10ft from ground, flat with antenna side facing down.
- Horizontal distance between BLE AP and product = 35ft
- Spec applies to worst-case product/BLE AP orientation.
- BLE RSSI value reported in Core Server.</t>
  </si>
  <si>
    <t>TR-BLE-29</t>
  </si>
  <si>
    <t>Product shall support BLE RX packet error rate at BLE AP as follows:
- PER &lt;= 5%
- BLE AP positioned 10ft from ground, flat with antenna side facing down.
- Horizontal distance between BLE AP and product = 35ft
- Spec applies to worst-case product/BLE AP orientation.
- Packet Error Rate measured at BLE AP</t>
  </si>
  <si>
    <t>TR-BLE-3</t>
  </si>
  <si>
    <t>Product shall support receiving BLE packets with RSSI &gt;= -85dBm in Orion</t>
  </si>
  <si>
    <t>TR-BLE-30</t>
  </si>
  <si>
    <t>Product shall support BLE RX packet error rate at product as follows:
- PER &lt;= 5%
- BLE AP positioned 10ft from ground, flat with antenna side facing down.
- Horizontal distance between BLE AP and product = 35ft
- Spec applies to worst-case product/BLE AP orientation.
- Packet Error Rate measured at Product</t>
  </si>
  <si>
    <t>TR-BLE-9</t>
  </si>
  <si>
    <t>Product TX BLE performance shall be reduced by no more than 5% as a result of wearing product on skin as it would be worn by end user.</t>
  </si>
  <si>
    <t>Button</t>
  </si>
  <si>
    <t>Button_State</t>
  </si>
  <si>
    <t>TR-Button-16</t>
  </si>
  <si>
    <t>In BLE-Only mode, product shall begin transmitting BLE button press packet immediately after legitimate button press is detected.</t>
  </si>
  <si>
    <t>TR-Button-2</t>
  </si>
  <si>
    <t>Product shall immediately send a forced location packet to server with the following key value, whenever button press is released while band is in closed state.
- Key Value: 2, 3</t>
  </si>
  <si>
    <t>TR-Button-3</t>
  </si>
  <si>
    <t>Product shall immediately send a forced location packet to server with the following key value, whenever button press is released while band is in open state.
- Key Value: 2, 3, 4</t>
  </si>
  <si>
    <t>TR-Button-34</t>
  </si>
  <si>
    <t>Product shall immediately send a forced location packet to server with the following key value, whenever button is pressed while band is in open state.
- Key Value: 1, 2, 3, 4</t>
  </si>
  <si>
    <t>TR-Button-35</t>
  </si>
  <si>
    <t>Product shall immediately send a forced location packet to server with the following key value, whenever button is pressed while band is in closed state.
- Key Value: 1, 2, 3</t>
  </si>
  <si>
    <t>TR-Button-36</t>
  </si>
  <si>
    <t>In Multi-mode, product shall clear button press packet in the event of a reset.</t>
  </si>
  <si>
    <t>TR-Button-37</t>
  </si>
  <si>
    <t>In UHF-only mode, product shall clear button press packet in the event of a reset.</t>
  </si>
  <si>
    <t>TR-Button-40</t>
  </si>
  <si>
    <t>In BLE-only mode, product shall clear button press packet in the event of a reset.</t>
  </si>
  <si>
    <t>Design</t>
  </si>
  <si>
    <t>TR-Button-1</t>
  </si>
  <si>
    <t>Product Shall Support Hardware Interrupt via Button</t>
  </si>
  <si>
    <t>TR-Button-4</t>
  </si>
  <si>
    <t>Product shall support Debounce for Button.</t>
  </si>
  <si>
    <t>TR-Button-41</t>
  </si>
  <si>
    <t>Product shall interpret any button press lasting longer than 15mS as a single button press.
NOTE: This product does not support long or double button press patterns. Product shall not wait 2 seconds to determine legitimate button press.</t>
  </si>
  <si>
    <t>TR-Button-5</t>
  </si>
  <si>
    <t>Product button press shall trigger a call event for assistance by the user.</t>
  </si>
  <si>
    <t>TR-Button-6</t>
  </si>
  <si>
    <t>Product shall interpret any button press lasting less than 15mS as invalid.
NOTE: Button press debounce</t>
  </si>
  <si>
    <t>Report</t>
  </si>
  <si>
    <t>TR-Button-10</t>
  </si>
  <si>
    <t>In UHF-only mode, product shall not transmit UHF button press packet in asynchronous state.</t>
  </si>
  <si>
    <t>TR-Button-11</t>
  </si>
  <si>
    <t>In UHF-only mode, product shall hold UHF button press packet in memory when in asynchronous state.</t>
  </si>
  <si>
    <t>TR-Button-12</t>
  </si>
  <si>
    <t>In UHF-only mode, product shall re-start transmitting UHF button press packet if tag transitions from asynchronous state to synchronous or pseudo-paging state prior to button press timeout.</t>
  </si>
  <si>
    <t>TR-Button-13</t>
  </si>
  <si>
    <t>In UHF-only mode, product shall clear and stop transmitting UHF button press packet when it receives acknowledgement from associated STAR for UHF button press packet.</t>
  </si>
  <si>
    <t>TR-Button-14</t>
  </si>
  <si>
    <t>In UHF-only mode, product shall clear and stop transmitting UHF button press packet when button press timeout window expires if no acknowledgement is received from associated STAR for UHF button press packet within button press timeout window.</t>
  </si>
  <si>
    <t>TR-Button-15</t>
  </si>
  <si>
    <t>In UHF-only mode, product shall not transmit button press packet over BLE at any time.</t>
  </si>
  <si>
    <t>TR-Button-17</t>
  </si>
  <si>
    <t>In BLE-only mode, product shall clear and stop transmitting BLE button press packet when it receives acknowledgement from BLE AP for BLE button press packet.</t>
  </si>
  <si>
    <t>TR-Button-18</t>
  </si>
  <si>
    <t>In BLE-only mode, product shall clear and stop transmitting BLE button press packet if no acknowledgement is received from BLE AP for BLE button press packet within button press timeout window.</t>
  </si>
  <si>
    <t>TR-Button-19</t>
  </si>
  <si>
    <t>In BLE-only mode, product shall not transmit button press packet over UHF at any time.</t>
  </si>
  <si>
    <t>TR-Button-20</t>
  </si>
  <si>
    <t>In Multi-mode, product shall begin transmitting UHF button press packet immediately after legitimate button press is detected if product is in synchronous mode.</t>
  </si>
  <si>
    <t>TR-Button-21</t>
  </si>
  <si>
    <t>In Multi-mode, product shall transmit UHF button press packet in synchronous state.</t>
  </si>
  <si>
    <t>TR-Button-22</t>
  </si>
  <si>
    <t>In Multi-mode, product shall transmit UHF button press packet in pseudo-paging state.</t>
  </si>
  <si>
    <t>TR-Button-23</t>
  </si>
  <si>
    <t>In Multi-mode, product shall not transmit UHF button press packet in asynchronous state.</t>
  </si>
  <si>
    <t>TR-Button-24</t>
  </si>
  <si>
    <t>In Multi-mode, product shall hold UHF button press packet in memory for duration of button press timeout window when in asynchronous state.</t>
  </si>
  <si>
    <t>TR-Button-25</t>
  </si>
  <si>
    <t>In Multi-mode, product shall re-start transmitting UHF button press packet if tag transistions from asynchronous state to synchronous or pseudo-paging state prior to button press timeout, and button press acknowledgment still not received over BLE or UHF.</t>
  </si>
  <si>
    <t>TR-Button-26</t>
  </si>
  <si>
    <t>In Multi-mode, product shall clear and stop transmitting UHF button press packet when it receives acknowledgement from asociated STAR for UHF button press packet.</t>
  </si>
  <si>
    <t>TR-Button-27</t>
  </si>
  <si>
    <t>In Multi-mode, product shall clear and stop transmitting UHF button press packet when it receives acknowledgement from BLE AP for BLE button press packet.</t>
  </si>
  <si>
    <t>TR-Button-28</t>
  </si>
  <si>
    <t>In Multi-mode, product shall clear and stop transmitting UHF button press packet if no acknowledgement is received from associated STAR for UHF button press packet and BLE AP for BLE button press packet within button press timeout window.</t>
  </si>
  <si>
    <t>TR-Button-29</t>
  </si>
  <si>
    <t>In Multi-mode, product shall only transmit BLE button press packet when tag is in asynchronous state.</t>
  </si>
  <si>
    <t>TR-Button-30</t>
  </si>
  <si>
    <t>In Multi-mode, Product shall clear and stop transmitting BLE button press packet when it receives acknowledgement from BLE AP for BLE button press packet.</t>
  </si>
  <si>
    <t>TR-Button-31</t>
  </si>
  <si>
    <t>In Multi-mode, product shall clear and stop transmitting BLE button press packet when it receives acknowledgement from associated STAR for UHF button press packet.</t>
  </si>
  <si>
    <t>TR-Button-32</t>
  </si>
  <si>
    <t>In Multi-mode, product shall clear and stop transmitting BLE button press packet if no acknowledgement is received from BLE AP for BLE button press packet within button press timeout window.</t>
  </si>
  <si>
    <t>TR-Button-33</t>
  </si>
  <si>
    <t>A button press packet transmission shall not be interrupted or overwritten by any subsequent button presses within the button press timeout window while waiting for button press packet acknowldgement.</t>
  </si>
  <si>
    <t>TR-Button-38</t>
  </si>
  <si>
    <t>In UHF-only mode, product shall begin transmitting UHF button press packet immediately after legitimate button press is detected if product is in pseudo-paging mode.</t>
  </si>
  <si>
    <t>TR-Button-39</t>
  </si>
  <si>
    <t>In Multi-mode, product shall begin transmitting UHF button press packet immediately after legitimate button press is detected if product is in pseudo-paging mode.</t>
  </si>
  <si>
    <t>TR-Button-7</t>
  </si>
  <si>
    <t>In UHF-only mode, product shall begin transmitting UHF button press packet immediately after legitimate button press is detected if product is in synchronous mode.</t>
  </si>
  <si>
    <t>TR-Button-8</t>
  </si>
  <si>
    <t>In UHF-only mode, product shall transmit UHF button press packet in synchronous state.</t>
  </si>
  <si>
    <t>TR-Button-9</t>
  </si>
  <si>
    <t>In UHF-only mode, product shall transmit UHF button press packet in pseudo-paging state.</t>
  </si>
  <si>
    <t>Commands</t>
  </si>
  <si>
    <t>Command_Set</t>
  </si>
  <si>
    <t>TR-Config-18</t>
  </si>
  <si>
    <t>Product shall support the following UHF commands from Core Server:
- Inventory Sleep
- Reset
- Set Frequency
- Set Platform (Orion or Pegasus)
- Duress Acknowledgement
- LF Calibration
- Clear LBS Status</t>
  </si>
  <si>
    <t>Configuration</t>
  </si>
  <si>
    <t>Profile_Configuration</t>
  </si>
  <si>
    <t>TR-Config-1</t>
  </si>
  <si>
    <t>Product shall support configurable IR profiles as follows (values in units of seconds):
Valid Values: 1.5, 3, and 6</t>
  </si>
  <si>
    <t>TR-Config-10</t>
  </si>
  <si>
    <t>Product shall support Multi-Mode configuration, enabling both UHF and BLE communications.</t>
  </si>
  <si>
    <t>TR-Config-12</t>
  </si>
  <si>
    <t>Product shall support skipping IR slots according to configurable IR-RX Profile; to effectively reduce IR event rate according to the following formula:
IR Event Rate = IR profile x (SKIP + 1)
Where:
IR Event Rate = IR window open rate measured in seconds
IR profile = System-wide IR transmit rate. 1.5, 3, or 6 seconds
SKIP = Configurable skip count. Valid values from 0 to 20 in increments of 1.</t>
  </si>
  <si>
    <t>TR-Config-13</t>
  </si>
  <si>
    <t xml:space="preserve">Product shall support the ability to enable and disable BLE in 900MHz feature.
</t>
  </si>
  <si>
    <t>TR-Config-15</t>
  </si>
  <si>
    <t>Product shall support configurable ability to enable and disable IR RX.</t>
  </si>
  <si>
    <t>TR-Config-19</t>
  </si>
  <si>
    <t>Product shall support UHF only configuration.</t>
  </si>
  <si>
    <t>TR-Config-2</t>
  </si>
  <si>
    <t>Product shall support configurable IR Report Rate in Orion as follows (values in units of seconds):
Valid Values: 12, 48, 120, 300</t>
  </si>
  <si>
    <t>TR-Config-20</t>
  </si>
  <si>
    <t>Product shall support configurable BLE fast report interval as follows (values in units of hours):
Valid Values: None, 1, 2, 6</t>
  </si>
  <si>
    <t>TR-Config-21</t>
  </si>
  <si>
    <t>Product shall support configurable BLE active report rate as follows (values in units of seconds):
Valid Values: 1, 3, 6, 9, 12, 24, 48</t>
  </si>
  <si>
    <t>TR-Config-22</t>
  </si>
  <si>
    <t>Product shall support BLE ping clusters with configurable number of pings as follows:
Valid Values: 1 through 15 in increments of 1</t>
  </si>
  <si>
    <t>TR-Config-23</t>
  </si>
  <si>
    <t>Product shall support configurable button press timeout ("Duress Timeout") in Orion as follows (values in units of seconds):
Valid Values: 30, 60, 90, 120</t>
  </si>
  <si>
    <t>TR-Config-24</t>
  </si>
  <si>
    <t>Product shall support BLE only configuration which disables UHF radio.</t>
  </si>
  <si>
    <t>TR-Config-25</t>
  </si>
  <si>
    <t>All configurable options supported from server shall also be supported via BLE mobile app.</t>
  </si>
  <si>
    <t>TR-Config-26</t>
  </si>
  <si>
    <t>Product shall support configurable button press BLE transmit rate (Duress Rate) in Orion as follows (values in units of mS):
Valid Values: 250, 500, 1000, 2000</t>
  </si>
  <si>
    <t>TR-Config-28</t>
  </si>
  <si>
    <t>Product button press timeout shall be a single parameter setting the timeout for both BLE and UHF button press packet transmissions.</t>
  </si>
  <si>
    <t>TR-Config-3</t>
  </si>
  <si>
    <t>Product shall support configurable RF Report Rate in Orion as follows (values in units of seconds):
Valid Values: 6, 12, 24, 48</t>
  </si>
  <si>
    <t>TR-Config-4</t>
  </si>
  <si>
    <t>Product shall support profile configuration via Centrak server over UHF.</t>
  </si>
  <si>
    <t>TR-Config-5</t>
  </si>
  <si>
    <t>Product shall support regular profile enabling tag to enter low power sleep mode when motion is not detected and tag is in band open state.</t>
  </si>
  <si>
    <t>TR-Config-6</t>
  </si>
  <si>
    <t>Product shall support Safety Solutions profile which prevents tag from entering low power sleep mode when motion is not detected.</t>
  </si>
  <si>
    <t>TR-Config-7</t>
  </si>
  <si>
    <t>Product shall support configurable BLE transmit power in Orion as follows (values in units of dBm):  
Valid Values: -20, -18, -15, -12, -10, -9, -6, -5, -3, 0, 1, 2, 3, 4, 5</t>
  </si>
  <si>
    <t>TR-Config-8</t>
  </si>
  <si>
    <t>Product shall support configurable BLE sleep report rate as follows (values in units of minutes):
Valid Values: 5, 10, 15, 30, 45, 60</t>
  </si>
  <si>
    <t>TR-Config-9</t>
  </si>
  <si>
    <t>Product shall support configurable, BLE intra-cluster, ping rate as follows (values in units of mS):
Valid Values: 50, 100, 150, 200</t>
  </si>
  <si>
    <t>TR-Config-16</t>
  </si>
  <si>
    <t>Product shall support configurable "LF RX" field with the ability to enable and disable LF RX.</t>
  </si>
  <si>
    <t>TR-Config-32</t>
  </si>
  <si>
    <t>Product shall support configurable "Tag Profile" field with the following settings:
Regular Sleep - Tag enters no-motion sleep when tag not in motion.
No Sleep/SS Mode - Tag never enters no motion sleep.
NOTE: Only applies when band is in open state. When band in closed state, tag automatically enters No Sleep/SS Mode.</t>
  </si>
  <si>
    <t>TR-Config-33</t>
  </si>
  <si>
    <t>Product shall support configurable "Firmware Upgrade" field with the ability to enable and disable forced OTA upgrade mode.</t>
  </si>
  <si>
    <t>TR-Config-34</t>
  </si>
  <si>
    <t>Product shall support configurable IR Report Rate in Pegasus as follows (values in units of seconds):
Valid Values: 12, 24, 48, 96</t>
  </si>
  <si>
    <t>TR-Config-35</t>
  </si>
  <si>
    <t>Product shall support configurable RF Report Rate in Pegasus as follows (values in units of seconds):
Valid Values: 12, 3/6, 24, 48</t>
  </si>
  <si>
    <t>TR-Config-37</t>
  </si>
  <si>
    <t>Product shall support configurable LF Exciter Alert as follows:
Enabled - Generate alert when LF Exciter LF field detected
Disabled - Do not generate alert when LF Exciter LF field detected
NOTE: Additional configurations may be required on server to generate alert when this parameter is Enabled</t>
  </si>
  <si>
    <t>TR-Config-38</t>
  </si>
  <si>
    <t>Product shall support configurable Tag Repeater Mode in Orion as follows:
None - Never send repeater packet
Heartbeat Mode - Send repeater packet in asynchronous and pseudo-synchronous modes
Locating Mode - Always send repeater packet</t>
  </si>
  <si>
    <t>TR-Config-39</t>
  </si>
  <si>
    <t>Product shall support configurable Repeater Ack Needed in Orion as follows:
Enabled - Receive acks from associated repeater
Disabled - Do not receive acks from any repeaters</t>
  </si>
  <si>
    <t>TR-Config-36</t>
  </si>
  <si>
    <t>Product shall support configurable Paging Profile as follows (values in units of seconds):
Valid Values: 12.5, 9.5, 6.5, 24.5</t>
  </si>
  <si>
    <t>Environmental</t>
  </si>
  <si>
    <t>Cleaning</t>
  </si>
  <si>
    <t>TR-Env-10</t>
  </si>
  <si>
    <t>Product Secure Band shall withstand up to 500 wipes from a Sani-wipe cloth with no signs of deterioration (fading, cracking, or drying).</t>
  </si>
  <si>
    <t>TR-Env-2</t>
  </si>
  <si>
    <t>Product labels shall withstand up to 30 minute submersion in water with no signs of deterioration (pealing, fading, cracking, or drying).</t>
  </si>
  <si>
    <t>TR-Env-3</t>
  </si>
  <si>
    <t>Product labels shall withstand up to 500 wipes from a Sani-wipe cloth with no signs of deterioration (pealing, fading, cracking, or drying).</t>
  </si>
  <si>
    <t>TR-Env-5</t>
  </si>
  <si>
    <t>Product mechanical enclosure shall withstand up to 30 minute submersion in water with no signs of deterioration (moisture ingress, fading, cracking, or drying).</t>
  </si>
  <si>
    <t>TR-Env-6</t>
  </si>
  <si>
    <t>Product mechanical enclosure shall withstand up to 500 wipes from a Sani-wipe cloth with no signs of deterioration (moisture ingress, fading, cracking, or drying).</t>
  </si>
  <si>
    <t>TR-Env-7</t>
  </si>
  <si>
    <t>Product Rugged Band shall withstand up to 30 minute submersion in water with no signs of deterioration (fading, cracking, or drying).</t>
  </si>
  <si>
    <t>TR-Env-8</t>
  </si>
  <si>
    <t>Product Rugged Band shall withstand up to 500 wipes from a Sani-wipe cloth with no signs of deterioration (fading, cracking, or drying).</t>
  </si>
  <si>
    <t>TR-Env-9</t>
  </si>
  <si>
    <t>Product Secure Band shall withstand up to 30 minute submersion in water bath with no signs of deterioration (fading, cracking, or drying).</t>
  </si>
  <si>
    <t>Impact</t>
  </si>
  <si>
    <t>TR-Env-1</t>
  </si>
  <si>
    <t>Product shall operate as expected, without reseting, during a 1.5m drop onto concrete.</t>
  </si>
  <si>
    <t>TR-Env-12</t>
  </si>
  <si>
    <t>Product shall operate as expected, with no signs of mechancial damage, after a 1.5m drop onto concrete.</t>
  </si>
  <si>
    <t>IPX</t>
  </si>
  <si>
    <t>TR-Env-13</t>
  </si>
  <si>
    <t>Product Shall Comply with IP67 Ingress rating.</t>
  </si>
  <si>
    <t>Temperature</t>
  </si>
  <si>
    <t>TR-Env-4</t>
  </si>
  <si>
    <t>Product shall operate within the following Temperature/Humidity specification: Temperature Range: 0 - 60C
Humidity Maximum: 100% condensing</t>
  </si>
  <si>
    <t>Factory Sleep</t>
  </si>
  <si>
    <t>TR-Sleep-8</t>
  </si>
  <si>
    <t>Product 24 hour average current consumption shall be less than 8uA in FACTORY SLEEP state.</t>
  </si>
  <si>
    <t>TR-Sleep-9</t>
  </si>
  <si>
    <t>Product 24 hour average current consumption shall be less than 8uA in INVENTORY SLEEP state.</t>
  </si>
  <si>
    <t>Reporting</t>
  </si>
  <si>
    <t>TR-Sleep-10</t>
  </si>
  <si>
    <t>Product shall hard-code associated STAR ID to 4095 while in INVENTORY SLEEP state.</t>
  </si>
  <si>
    <t>TR-Sleep-14</t>
  </si>
  <si>
    <t>Product shall transmit location data once every 24 hours while in INVENTORY SLEEP state.</t>
  </si>
  <si>
    <t>State_Transition</t>
  </si>
  <si>
    <t>TR-Sleep-1</t>
  </si>
  <si>
    <t>Product shall remain in low power consumption sleep mode until activated for use. (Inventory/Factory Sleep)</t>
  </si>
  <si>
    <t>TR-Sleep-11</t>
  </si>
  <si>
    <t>Product shall support 4, sleep states to support manufacturing and inventory operations:
- NONE
- FACTORY SLEEP
- INVENTORY SLEEP
- ACTIVE</t>
  </si>
  <si>
    <t>TR-Sleep-12</t>
  </si>
  <si>
    <t>Product shall transition from FACTORY SLEEP to ACTIVE due to LF ID within 2 minutes of being placed the LF field.</t>
  </si>
  <si>
    <t>TR-Sleep-13</t>
  </si>
  <si>
    <t>Product shall transition from INVENTORY SLEEP to ACTIVE due to LF ID within 2 minutes of being placed the LF field.</t>
  </si>
  <si>
    <t>TR-Sleep-15</t>
  </si>
  <si>
    <t>Product sleep state shall be set to FACTORY SLEEP when FACTORY SLEEP step is executed during direct flash programming.</t>
  </si>
  <si>
    <t>TR-Sleep-16</t>
  </si>
  <si>
    <t>Product sleep state shall be set to NONE when FACTORY SLEEP step is bypassed during direct flash programming.</t>
  </si>
  <si>
    <t>TR-Sleep-17</t>
  </si>
  <si>
    <t>Product sleep state shall transition from ACTIVE to INVENTORY SLEEP when product receives INVENTORY SLEEP command.</t>
  </si>
  <si>
    <t>TR-Sleep-18</t>
  </si>
  <si>
    <t>Product sleep state shall transition from FACTORY SLEEP to ACTIVE when a closed band event occurs.
NOTE: This is when the band clasp/lock is fully closed/engaged and electrical continuity is established between both sides of the housing.</t>
  </si>
  <si>
    <t>TR-Sleep-19</t>
  </si>
  <si>
    <t>Product sleep state shall transition from FACTORY SLEEP to ACTIVE when button is pressed and held for greater than 3 seconds.</t>
  </si>
  <si>
    <t>TR-Sleep-2</t>
  </si>
  <si>
    <t>Product sleep state shall transition from INVENTORY SLEEP to ACTIVE when button is pressed and held for greater than 3 seconds.</t>
  </si>
  <si>
    <t>TR-Sleep-20</t>
  </si>
  <si>
    <t>Product sleep state shall transition from FACTORY SLEEP to ACTIVE when product detects LF ID 1111.</t>
  </si>
  <si>
    <t>TR-Sleep-21</t>
  </si>
  <si>
    <t>Product sleep state shall transition from INVENTORY SLEEP to ACTIVE when a closed band event occurs.
NOTE: This is when the band clasp/lock is fully closed/engaged and electrical continuity is established between both sides of the housing.</t>
  </si>
  <si>
    <t>TR-Sleep-3</t>
  </si>
  <si>
    <t>Product sleep state shall transition from NONE to FACTORY SLEEP when button is pressed and held for greater than 5 seconds.</t>
  </si>
  <si>
    <t>TR-Sleep-4</t>
  </si>
  <si>
    <t>Product sleep state shall transition from NONE to FACTORY SLEEP when product detects LF ID 430.</t>
  </si>
  <si>
    <t>TR-Sleep-5</t>
  </si>
  <si>
    <t>Product sleep state shall transition from NONE to FACTORY SLEEP when product receives a UHF command SET_FACTORY_SLEEP.</t>
  </si>
  <si>
    <t>TR-Sleep-6</t>
  </si>
  <si>
    <t>Product sleep state shall transition from INVENTORY SLEEP to ACTIVE when product detects LF ID 1111.</t>
  </si>
  <si>
    <t>TR-Sleep-7</t>
  </si>
  <si>
    <t>Product sleep state shall transition from INVENTORY SLEEP to ACTIVE when product receives WAKE FROM INVENTORY SLEEP command.</t>
  </si>
  <si>
    <t>Firmware Upgrade</t>
  </si>
  <si>
    <t>Background_Upgrade</t>
  </si>
  <si>
    <t>TR-Upgrade-2</t>
  </si>
  <si>
    <t>Product shall retain full functionality while firmware upgrade is being performed.
NOTE: FW upgrade must be a background operation with no impact to product functionality or performance.</t>
  </si>
  <si>
    <t>TR-Upgrade-10</t>
  </si>
  <si>
    <t>Product shall be capable of performing a BLE upgrade while in synchronous mode.</t>
  </si>
  <si>
    <t>TR-Upgrade-11</t>
  </si>
  <si>
    <t>Product shall continue to operate using original FW if BLE FW upgrade terminates prior to completion.</t>
  </si>
  <si>
    <t>TR-Upgrade-18</t>
  </si>
  <si>
    <t>Product shall support FW upgrade via Polestar packets.</t>
  </si>
  <si>
    <t>TR-Upgrade-19</t>
  </si>
  <si>
    <t>Product shall support wireless upgrade of active firmware via BLE without hands on access.
NOTE: Forced BLE activation is required</t>
  </si>
  <si>
    <t>TR-Upgrade-4</t>
  </si>
  <si>
    <t>Product shall support firmware upgrade over BLE via local BLE mobile app.</t>
  </si>
  <si>
    <t>TR-Upgrade-5</t>
  </si>
  <si>
    <t>Product shall support firmware upgrade over BLE via CT-Bridge.</t>
  </si>
  <si>
    <t>TR-Upgrade-6</t>
  </si>
  <si>
    <t>Product shall support firmware upgrade over BLE via BLE AP.</t>
  </si>
  <si>
    <t>TR-Upgrade-7</t>
  </si>
  <si>
    <t>Product shall continue to operate using original FW if product resets during BLE upgrade.</t>
  </si>
  <si>
    <t>TR-Upgrade-9</t>
  </si>
  <si>
    <t>Product shall be capable of performing a BLE upgrade while in asynchronous mode.</t>
  </si>
  <si>
    <t>TR-Upgrade-1</t>
  </si>
  <si>
    <t>Product shall support BLE FW upgrade within 60s in the following configuration:
- Upgrade via Mobile App at a distance of 10ft.
NOTE: Duration specified from upgrade start to tag reset</t>
  </si>
  <si>
    <t>TR-Upgrade-15</t>
  </si>
  <si>
    <t>Product shall support BLE FW upgrade within 60s in the following configuration:
- Upgrade via BLE AP at a distance of 30ft.
NOTE: Duration specified from upgrade start to tag reset</t>
  </si>
  <si>
    <t>TR-Upgrade-16</t>
  </si>
  <si>
    <t>Product shall support firmware upgrade within 120 minutes over UHF under the following conditions:
- Orion System
- Within 35ft of STAR
- UHF RSSI &gt;= -80dBm
- Limited bandwidth contention (less than 30 devices using the same ASTAR)
- Remain in STAR coverage meeting all other conditions listed for entire duration of upgrade.</t>
  </si>
  <si>
    <t>TR-Upgrade-17</t>
  </si>
  <si>
    <t>Product shall support firmware upgrade within 180 minutes over UHF under the following conditions:
- Pegasus System
- Within 35ft of STAR
- UHF RSSI &gt;= -80dBm
- Limited bandwidth contention (less than 30 devices using the same ASTAR)
- Remain in STAR coverage meeting all other conditions listed for entire duration of upgrade.</t>
  </si>
  <si>
    <t>UHF</t>
  </si>
  <si>
    <t>TR-Upgrade-12</t>
  </si>
  <si>
    <t>Product shall continue UHF FW upgrade without reseting the packet count, after locking a new ASTAR via full paging process.</t>
  </si>
  <si>
    <t>TR-Upgrade-13</t>
  </si>
  <si>
    <t>Product shall continue UHF FW upgrade without reseting the packet count, after locking a new ASTAR via pseudo-paging process.</t>
  </si>
  <si>
    <t>TR-Upgrade-14</t>
  </si>
  <si>
    <t>Product shall restart upgrade automatically upon bootup if product resets during UHF upgrade.</t>
  </si>
  <si>
    <t>TR-Upgrade-20</t>
  </si>
  <si>
    <t>Product shall support wireless upgrade of active firmware via UHF without hands on access.</t>
  </si>
  <si>
    <t>TR-Upgrade-21</t>
  </si>
  <si>
    <t>Product shall terminate UHF upgrade process if server upgrade timer expires prior to upgrade completion.</t>
  </si>
  <si>
    <t>TR-Upgrade-3</t>
  </si>
  <si>
    <t>Product shall support firmware upgrade over UHF.</t>
  </si>
  <si>
    <t>TR-Upgrade-8</t>
  </si>
  <si>
    <t>Product shall continue to operate using original FW if UHF FW upgrade terminates prior to completion.</t>
  </si>
  <si>
    <t>IR</t>
  </si>
  <si>
    <t>TR-IR-12</t>
  </si>
  <si>
    <t>Product shall be capable of decoding Orion IR IDs transmitted by Orion Monitors.</t>
  </si>
  <si>
    <t>TR-IR-13</t>
  </si>
  <si>
    <t>Product shall be capable of decoding Orion IR IDs transmitted by Orion Virtual Walls.</t>
  </si>
  <si>
    <t>TR-IR-9</t>
  </si>
  <si>
    <t>Product shall be capable of decoding IR IDs from 1 to 4095.</t>
  </si>
  <si>
    <t>TR-IR-10</t>
  </si>
  <si>
    <t>Product shall be capable of decoding Orion IR IDs in the presence of ambient flourescent lighting.</t>
  </si>
  <si>
    <t>TR-IR-11</t>
  </si>
  <si>
    <t>Product shall be capable of decoding Orion IR IDs in the presence of Centrak IR source self noise.</t>
  </si>
  <si>
    <t>TR-IR-14</t>
  </si>
  <si>
    <t>Product shall be capable of decoding Pegasus IR IDs in the presence of ambient flourescent lighting.</t>
  </si>
  <si>
    <t>TR-IR-15</t>
  </si>
  <si>
    <t>Product shall decode Orion IR ID transmitted in IR sub-slot 1 (Profile A) according to the following criterea:
- Success Rate &gt; 95%
- 200 IR location packets (10 minutes in constant motion; 3s IR window system)</t>
  </si>
  <si>
    <t>TR-IR-16</t>
  </si>
  <si>
    <t>Product shall decode Orion IR ID transmitted in IR sub-slot 1 (Profile A) and self noise on according to the following criterea:
- Success Rate &gt; 95%
- 200 IR location packets (10 minutes in constant motion; 3s IR window system)
- All IR sources configured with self noise enabled</t>
  </si>
  <si>
    <t>TR-IR-17</t>
  </si>
  <si>
    <t>Product shall decode Orion IR ID transmitted in IR sub-slot 2 (Profile B) according to the following criterea:
- Success Rate &gt; 95%
- 200 IR location packets (10 minutes in constant motion; 3s IR window system)</t>
  </si>
  <si>
    <t>TR-IR-18</t>
  </si>
  <si>
    <t>Product shall decode Orion IR ID transmitted in IR sub-slot 2 (Profile B) and self noise on according to the following criterea:
- Success Rate &gt; 95%
- 200 IR location packets (10 minutes in constant motion; 3s IR window system)
- All IR sources configured with self noise enabled</t>
  </si>
  <si>
    <t>TR-IR-19</t>
  </si>
  <si>
    <t>Product shall decode Orion IR ID transmitted in IR sub-slot 3 (Profile C) according to the following criterea:
- Success Rate &gt; 95%
- 200 IR location packets (10 minutes in constant motion; 3s IR window system)</t>
  </si>
  <si>
    <t>TR-IR-20</t>
  </si>
  <si>
    <t>Product shall decode Orion IR ID transmitted in IR sub-slot 3 (Profile C) and self noise on according to the following criterea:
- Success Rate &gt; 95%
- 200 IR location packets (10 minutes in constant motion; 3s IR window system)
- All IR sources configured with self noise enabled</t>
  </si>
  <si>
    <t>TR-IR-21</t>
  </si>
  <si>
    <t>Product shall decode Orion IR ID transmitted in IR sub-slot 4 (Profile D) according to the following criterea:
- Success Rate &gt; 95%
- 200 IR location packets (10 minutes in constant motion; 3s IR window system)</t>
  </si>
  <si>
    <t>TR-IR-22</t>
  </si>
  <si>
    <t>Product shall decode Orion IR ID transmitted in IR sub-slot 4 (Profile D) and self noise on according to the following criterea:
- Success Rate &gt; 95%
- 200 IR location packets (10 minutes in constant motion; 3s IR window system)
- All IR sources configured with self noise enabled</t>
  </si>
  <si>
    <t>TR-IR-23</t>
  </si>
  <si>
    <t>Product shall decode Orion IR ID transmitted in IR sub-slot 5 (Profile E) according to the following criterea:
- Success Rate &gt; 95%;
- 200 IR location packets (10 minutes in constant motion; 3s IR window system)</t>
  </si>
  <si>
    <t>TR-IR-24</t>
  </si>
  <si>
    <t>Product shall decode Orion IR ID transmitted in IR sub-slot 5 (Profile E) and self noise on according to the following criterea:
- Success Rate &gt; 95%;
- 200 IR location packets (10 minutes in constant motion; 3s IR window system)
- All IR sources configured with self noise enabled</t>
  </si>
  <si>
    <t>TR-IR-25</t>
  </si>
  <si>
    <t>Product shall decode Orion IR ID transmitted in IR sub-slot 6 (Profile F) according to the following criterea:
- Success Rate &gt; 95%
- 200 IR location packets (10 minutes in constant motion; 3s IR window system)</t>
  </si>
  <si>
    <t>TR-IR-26</t>
  </si>
  <si>
    <t>Product shall decode Orion IR ID transmitted in IR sub-slot 6 (Profile F) and self noise on according to the following criterea:
- Success Rate &gt; 95%
- 200 IR location packets (10 minutes in constant motion; 3s IR window system)
- All IR sources configured with self noise enabled</t>
  </si>
  <si>
    <t>TR-IR-27</t>
  </si>
  <si>
    <t>Product shall decode Pegasus IR ID transmitted in Normal Profile according to the following criterea:
- Success Rate &gt; 95%
- 200 IR location packets (10 minutes in constant motion; 3s IR window system)</t>
  </si>
  <si>
    <t>TR-IR-28</t>
  </si>
  <si>
    <t>Product shall decode Pegasus IR ID transmitted in Normal Profile and IR self noise according to the following criterea:
- Success Rate &gt; 95%
- 200 IR location packets (10 minutes in constant motion; 3s IR window system)
- All IR sources configured with self noise enabled</t>
  </si>
  <si>
    <t>TR-IR-29</t>
  </si>
  <si>
    <t>Product shall decode Pegasus IR ID transmitted in the presence of Wolver-Hampton IR noise according to the following criterea:
- Success Rate &gt; 95%
- 200 IR location packets (10 minutes in constant motion; 3s IR window system)
- UUT centered beneath desired IR source (desired bay 6ft wide)
- Wolver-Hampton noise sources on either side of desired bay
- All IR sources must use IR visors</t>
  </si>
  <si>
    <t>TR-IR-30</t>
  </si>
  <si>
    <t>Product shall decode Pegasus IR ID transmitted in the presence of Wolver-Hampton IR noise and IR self noise according to the following criterea:
- Success Rate &gt; 95%
- 200 IR location packets (10 minutes in constant motion; 3s IR window system)
- UUT centered beneath desired IR source (desired bay 6ft wide)
- Wolver-Hampton noise sources on either side of desired bay
- All IR sources must use IR visors
- All IR sources configured with self noise enabled</t>
  </si>
  <si>
    <t>LBI_LBS</t>
  </si>
  <si>
    <t>Battery_Measurement</t>
  </si>
  <si>
    <t>TR-LBILBS-1</t>
  </si>
  <si>
    <t>Product shall contain a battery voltage monitoring circuit external to MCU.</t>
  </si>
  <si>
    <t>TR-LBILBS-10</t>
  </si>
  <si>
    <t>Product shall support measuring battery voltage under low-load (referenced here as "VLL") as part of LBI measurement.</t>
  </si>
  <si>
    <t>TR-LBILBS-11</t>
  </si>
  <si>
    <t>Product shall support measuriung battery voltage under high-load (referenced here as "VHL") as part of LBI measurement.</t>
  </si>
  <si>
    <t>TR-LBILBS-12</t>
  </si>
  <si>
    <t>Product shall measure voltage directly across battery terminals (known as LBI measurement) periodically for the purpose of determining health and depletion level of battery.</t>
  </si>
  <si>
    <t>TR-LBILBS-16</t>
  </si>
  <si>
    <t>Product shall use voltage hysteresis (refereneced here as "LBSVHLHyst") for LBS state exit due to VHL measurement, defined as follows:
LBSVHLHyst = VHL x 5%</t>
  </si>
  <si>
    <t>TR-LBILBS-17</t>
  </si>
  <si>
    <t>Product shall use voltage hysteresis (referenced here as "LBSVLLHyst") for LBS state exit due to VLL measurement, defined as follows:
LBSVLLHyst = VLL x 5%</t>
  </si>
  <si>
    <t>TR-LBILBS-18</t>
  </si>
  <si>
    <t xml:space="preserve">Product shall use a voltage threshold (referenced here as "NBTH") to determine if a new battery has been installed defined as follows:
NBTH = 2819
 </t>
  </si>
  <si>
    <t>TR-LBILBS-19</t>
  </si>
  <si>
    <t>Product shall use a threshold voltage (referenced here as "VHLThresh") for LBS entry/exit criteria defined as follows:
VHLThresh = 2200</t>
  </si>
  <si>
    <t>TR-LBILBS-2</t>
  </si>
  <si>
    <t>Product shall support Battery Status Circuit that does not consume current when idle</t>
  </si>
  <si>
    <t>TR-LBILBS-20</t>
  </si>
  <si>
    <t>Product shall use a threshold voltage (referenced here as "VLLThresh") for LBS entry/exit criteria defined as follows:
VLLThresh = 2300</t>
  </si>
  <si>
    <t>TR-LBILBS-26</t>
  </si>
  <si>
    <t>Product shall enter LBS state due to battery voltage only if the following LBI measurement condition is met:
4, consecutive LBI measurements of VHL &lt;= VHLThresh
NOTE: First VHL &lt;= VHLThresh transitions to fast LBI mesurement. Remaining three consecutive measurements of VHL &lt;= VHLThresh occur over a 30 minute period. (3 x 10 minutes).</t>
  </si>
  <si>
    <t>TR-LBILBS-30</t>
  </si>
  <si>
    <t>When product is in LBS state, if product enters LBS state due to battery voltage, then while in LBS state, product shall measure VLL every 5 minutes.
NOTE: VHL is only measured if VLL is above VLLThresh + LBSVLLHyst</t>
  </si>
  <si>
    <t>TR-LBILBS-31</t>
  </si>
  <si>
    <t>When product is in LBS state, if product enters LBS state due to battery voltage, product shall exit LBS state only after the following LBS exit conditions are met:
VLL &gt; VLLThresh + LBSVLLHyst
VHL &gt; VHLThresh + LBSVHLHyst</t>
  </si>
  <si>
    <t>TR-LBILBS-32</t>
  </si>
  <si>
    <t>Product shall detect a new battery only after the following new battery conditions are met:
Product in LBS state
VHL &gt; NBTH</t>
  </si>
  <si>
    <t>TR-LBILBS-33</t>
  </si>
  <si>
    <t>Product shall transition from normal LBI measurement operation (1x per hour) to fast LBI measurement (1x per 10 minutes) only after the following fast LBI measurement condition is met:
VHL &lt;= VHLThresh</t>
  </si>
  <si>
    <t>TR-LBILBS-34</t>
  </si>
  <si>
    <t>Product shall transition from fast LBI mesurement (1x per 10 minutes) to normal LBI measurement (1x per hour) only after the following conditions are met:
Product in fast LBI measurement state prior to; but not yet in LBS state.
VHL &gt; VHLThresh + LBSVHLHyst</t>
  </si>
  <si>
    <t>TR-LBILBS-35</t>
  </si>
  <si>
    <t>Product shall execute LBI measurement periodically, at a rate of 1x per hour during normal LBI measurement operation.</t>
  </si>
  <si>
    <t>TR-LBILBS-36</t>
  </si>
  <si>
    <t>Product shall execute LBI measurement periodically, at a rate of 1x per 10 minutes during fast LBI measurement operation.</t>
  </si>
  <si>
    <t>TR-LBILBS-37</t>
  </si>
  <si>
    <t>Product shall execute LBI measurement periodically, at a rate of 1x per 5 minutes when in LBS state.</t>
  </si>
  <si>
    <t>TR-LBILBS-38</t>
  </si>
  <si>
    <t>Product shall execute LBI measurement periodically, at a rate of 1x per 5 minutes when in FW upgrade state.</t>
  </si>
  <si>
    <t>TR-LBILBS-39</t>
  </si>
  <si>
    <t>Product shall execute LBI measurement periodically, at a rate of 1x per 24 hours when in Factory Sleep and Inventory Sleep states.</t>
  </si>
  <si>
    <t>TR-LBILBS-50</t>
  </si>
  <si>
    <t>Product shall send LBI value to server in the location packet immediately after a new LBI measurement.
NOTE: LBI value is true battery LBI and not LBI status byte</t>
  </si>
  <si>
    <t>TR-LBILBS-53</t>
  </si>
  <si>
    <t>Product shall support forced LBI measurement event whenever the button is pressed and held for greater than 5s.
NOTE: Does not apply when product is in FACTORY SLEEP or INVENTORY SLEEP states.</t>
  </si>
  <si>
    <t>TR-LBILBS-56</t>
  </si>
  <si>
    <t>Product forced LBI measurement shall consist of a single VHL measurement.
NOTE: Forced LBI measurement is same as periodic LBI measurement</t>
  </si>
  <si>
    <t>TR-LBILBS-57</t>
  </si>
  <si>
    <t>Product forced LBI measurement shall send LBI value to server immediately upon completion of measurement.</t>
  </si>
  <si>
    <t>Crash_Count</t>
  </si>
  <si>
    <t>TR-LBILBS-23</t>
  </si>
  <si>
    <t>Product shall enter LBS state due to crash count if the following crash count condition is met:
crash count &gt; 3</t>
  </si>
  <si>
    <t>TR-LBILBS-5</t>
  </si>
  <si>
    <t>Product shall implement a crash counter that increments each time the product resets.</t>
  </si>
  <si>
    <t>TR-LBILBS-58</t>
  </si>
  <si>
    <t>When product is in LBS state, if product enters LBS state due to crash count, then while in LBS state, product shall measure VLL every 5 minutes.
NOTE: VHL is only measured if VLL is above VLLThresh + LBSVLLHyst</t>
  </si>
  <si>
    <t>TR-LBILBS-59</t>
  </si>
  <si>
    <t>When product is in LBS state, if product enters LBS state due to crash count, product shall exit LBS state only after the following LBS exit conditions are met:
VLL &gt; VLLThresh + LBSVLLHyst
VHL &gt; VHLThresh + LBSVHLHyst</t>
  </si>
  <si>
    <t>TR-LBILBS-6</t>
  </si>
  <si>
    <t>Product shall clear crash counter to 0 when entering Factory or Inventory Sleep.</t>
  </si>
  <si>
    <t>TR-LBILBS-7</t>
  </si>
  <si>
    <t>Product shall clear crash counter to 0 when exiting Factory or Inventory Sleep.</t>
  </si>
  <si>
    <t>TR-LBILBS-8</t>
  </si>
  <si>
    <t>Product shall clear crash counter to 0 prior to any reset initiated by command.</t>
  </si>
  <si>
    <t>TR-LBILBS-9</t>
  </si>
  <si>
    <t>Product shall clear crash counter to 0 upon entering LBS state.</t>
  </si>
  <si>
    <t>LBS_State</t>
  </si>
  <si>
    <t>TR-LBILBS-21</t>
  </si>
  <si>
    <t>Product shall support Low Battery Sleep (referenced here as "LBS") state such that in this state, product is shut down and functionality is limited to periodically checking for LBS exit condition.</t>
  </si>
  <si>
    <t>TR-LBILBS-22</t>
  </si>
  <si>
    <t>Product shall reset whenever it exits LBS state.</t>
  </si>
  <si>
    <t>TR-LBILBS-27</t>
  </si>
  <si>
    <t>When product is in LBS state, product shall continuously check for button press.
NOTE: any button press exits LBS state.</t>
  </si>
  <si>
    <t>TR-LBILBS-3</t>
  </si>
  <si>
    <t>Product shall support Low Battery Sleep (LBS) mode to prevent memory corruption or other adverse affects from depleted battery.</t>
  </si>
  <si>
    <t>TR-LBILBS-4</t>
  </si>
  <si>
    <t>Product shall support early warning of sleep mode entry.</t>
  </si>
  <si>
    <t>Status_Byte</t>
  </si>
  <si>
    <t>TR-LBILBS-45</t>
  </si>
  <si>
    <t>Product shall implement an LBI status byte for diagnostic purposes such that LBI status byte contains the following flags:
LBS ENTRY FLAG : Reason product entered LBS state
LBS EXIT FLAG : Reason product exited LBS state
ENTER LBS : Is product still in LBS state
NEW BATTERY : New battery has been detected by product</t>
  </si>
  <si>
    <t>TR-LBILBS-46</t>
  </si>
  <si>
    <t>LBI status byte flag "LBS ENTRY FLAG" (Reason product entered LBS state) shall support the following valid values:
LBS_ENTRY_FLAG_NONE : LBS entry flag cleared
LBS_ENTRY_FLAG_CRASH : enter (or remain in) LBS state due to crash count
LBS_ENTRY_FLAG_VLL : remain in LBS state due to VLL measurement
LBS_ENTRY_FLAG_VHL : enter (or remain in) LBS state due to VHL measurement
LBS_ENTRY_FLAG_LOW_TEMP : enter (or remain in) LBS state due to temperature measurement out of range low
LBS_ENTRY_FLAG_HIGH_TEMP : enter (or remain in) LBS state due to temperature measurement out of range high</t>
  </si>
  <si>
    <t>TR-LBILBS-47</t>
  </si>
  <si>
    <t>LBI status byte flag "LBS EXIT FLAG" (Reason product exited LBS state) shall support the following valid values:
LBS_EXIT_FLAG_NONE : LBS exit flag cleared
LBS_EXIT_FLAG_BUTTON : exit LBS due to button press
LBS_EXIT_FLAG_VLL_RESET : exit LBS state due to VLL and VHL above LBS threshold
LBS_EXIT_FLAG_TEMP_RESET : exit LBS state due to Temp within both the high and low temperature LBS thresholds</t>
  </si>
  <si>
    <t>TR-LBILBS-48</t>
  </si>
  <si>
    <t>LBI status byte shall be sent from product to core server in the LBI value field of location packet.
NOTE: LBI value &lt; 512 is an LBI status byte. LBI value &gt;= 512 is an actual LBI value</t>
  </si>
  <si>
    <t>TR-LBILBS-49</t>
  </si>
  <si>
    <t>Product shall re-send LBI value to server in every 3rd location packet when LBI value is not a new LBI measurement.
NOTE: LBI value is true battery LBI and not LBI status byte</t>
  </si>
  <si>
    <t>TR-LBILBS-51</t>
  </si>
  <si>
    <t>Product shall send LBI status byte to server in every location packet during the final 10 minutes of fast LBI measurement state prior to entering LBS state.</t>
  </si>
  <si>
    <t>TR-LBILBS-52</t>
  </si>
  <si>
    <t>Product shall send LBI status byte to server in the first location packet after exiting LBS mode and continue to send LBI status byte until it is acknowledged.</t>
  </si>
  <si>
    <t>TR-LBILBS-54</t>
  </si>
  <si>
    <t>Product shall hold LBI status byte in memory until LBI status is successfully transmitted to server as evidenced by a packet acknowledgement from either STAR or BLE AP.</t>
  </si>
  <si>
    <t>TR-LBILBS-55</t>
  </si>
  <si>
    <t>Product shall clear LBI status byte in memory once LBI status is successfully transmitted to server as evidenced by a packet acknowledgement from either STAR or BLE AP.</t>
  </si>
  <si>
    <t>Temperature_Measurement</t>
  </si>
  <si>
    <t>TR-LBILBS-13</t>
  </si>
  <si>
    <t>Product shall use a low temperature threshold (referenced here as "LTT") for LBS state entry, defined as follows:
LTT = -5C</t>
  </si>
  <si>
    <t>TR-LBILBS-14</t>
  </si>
  <si>
    <t>Product shall use a high temperature threshold (referenced here as "HTT") for LBS state entry, defined as follows:
HTT = 65C</t>
  </si>
  <si>
    <t>TR-LBILBS-15</t>
  </si>
  <si>
    <t>Product shall use temperature hysteresis (referenced here as "LBSTempHyst") for LBS state exit, defined as follows:
LBSTempHyst = 5 (where 5 is in units of C)</t>
  </si>
  <si>
    <t>TR-LBILBS-24</t>
  </si>
  <si>
    <t>Product shall enter LBS state due to temperature if the following temperature measurement condition is met:
Temp &lt; LTT</t>
  </si>
  <si>
    <t>TR-LBILBS-25</t>
  </si>
  <si>
    <t>Product shall enter LBS state due to temperature if the following temperature measurement condition is met:
Temp &gt; HTT</t>
  </si>
  <si>
    <t>TR-LBILBS-28</t>
  </si>
  <si>
    <t>When product is in LBS state, if product enters LBS state due to temperature, then while in LBS state, product shall measure temperture every 5 minutes.</t>
  </si>
  <si>
    <t>TR-LBILBS-29</t>
  </si>
  <si>
    <t>If product enters LBS state due to temperature, then product shall exit LBS state only after the following LBS exit condition is met:
LTT + LBSTempHyst &lt;= Temp &lt;= HTT - LBSTempHyst
NOTE: Temp is the temperature measured every 5 minutes in LBS state.</t>
  </si>
  <si>
    <t>TR-LBILBS-40</t>
  </si>
  <si>
    <t>Product shall execute temperature measurement periodically, at a rate of 1x per minute during normal operation.</t>
  </si>
  <si>
    <t>TR-LBILBS-41</t>
  </si>
  <si>
    <t>Product shall execute temperature measurement periodically, at a rate of 1x per minute during fast LBI measurement operation.</t>
  </si>
  <si>
    <t>TR-LBILBS-42</t>
  </si>
  <si>
    <t>Product shall execute temperature measurement periodically, at a rate of 1x per 5 minutes when in LBS state.</t>
  </si>
  <si>
    <t>TR-LBILBS-43</t>
  </si>
  <si>
    <t>Product shall execute temperature measurement periodically, at a rate of 1x per 1 minute when in FW upgrade state.</t>
  </si>
  <si>
    <t>TR-LBILBS-44</t>
  </si>
  <si>
    <t>Product shall not execute temperature measurement in Factory Sleep and Inventory Sleep states.</t>
  </si>
  <si>
    <t>LED</t>
  </si>
  <si>
    <t>Battery_Check</t>
  </si>
  <si>
    <t>TR-LED-14</t>
  </si>
  <si>
    <t>Product shall illuminate LED according to the following pattern when a new battery is detected:
GREEN LED: on 50mS off 250mS (8x)</t>
  </si>
  <si>
    <t>TR-LED-23</t>
  </si>
  <si>
    <t>Product shall illuminate LED according to the following pattern when manual battery check (VHL) is executed and returns a value less than or equal to 2350:
RED LED: on 250mS off 250mS (3x)</t>
  </si>
  <si>
    <t>TR-LED-24</t>
  </si>
  <si>
    <t>Product shall illuminate LED according to the following pattern when manual battery check (VHL) is executed and returns a value greater than 2350 and less than or equal to 2600:
GREEN LED: on 250mS off 250mS (1x)
RED LED: on 250mS off 250mS (2x)</t>
  </si>
  <si>
    <t>TR-LED-25</t>
  </si>
  <si>
    <t>Product shall illuminate LED according to the following pattern when manual battery check (VHL) is executed and returns a value greater than 2600 and less than or equal to 2850:
GREEN LED: on 250mS off 250mS (2x)
RED LED: on 250mS off 250mS (1x)</t>
  </si>
  <si>
    <t>TR-LED-26</t>
  </si>
  <si>
    <t>Product shall illuminate LED according to the following pattern when manual battery check (VHL) is executed and returns a value greater than 2850:
GREEN LED: on 250mS off 250mS (3x)</t>
  </si>
  <si>
    <t>Button_Press</t>
  </si>
  <si>
    <t>TR-LED-10</t>
  </si>
  <si>
    <t>Product shall continue button press transmit LED illumination pattern from initial button press until successful button press acknowledgement including while in synchronous state.</t>
  </si>
  <si>
    <t>TR-LED-11</t>
  </si>
  <si>
    <t>Product shall illuminate LED according to the following pattern during button press packet transmission:
RED LED: on 20mS off remainder of period
Period: determined by "BLE Duress Rate" (250m2, 500ms, 1s, 2s)
NOTE: independent of button press packet type (UHF or BLE)</t>
  </si>
  <si>
    <t>TR-LED-12</t>
  </si>
  <si>
    <t>Product shall illuminate LED according to the following pattern to indicate button press timeout expired with no acknowledgement (button press failure):
RED LED: on 250mS off 250mS (4x)
NOTE: independent of button press packet type (UHF or BLE)</t>
  </si>
  <si>
    <t>TR-LED-13</t>
  </si>
  <si>
    <t>Product shall illuminate LED according to the following pattern to indicate successful acknowledgement of button press packet:
GREEN LED: on 250mS off 250mS (4x)
NOTE: independent of button press packet type (UHF or BLE)</t>
  </si>
  <si>
    <t>TR-LED-5</t>
  </si>
  <si>
    <t>Product shall clear/stop button press transmit LED illumination pattern immediately prior to failure LED indication.</t>
  </si>
  <si>
    <t>TR-LED-6</t>
  </si>
  <si>
    <t>Product shall clear/stop button press transmit LED illumination pattern immediately prior to success LED indication.</t>
  </si>
  <si>
    <t>TR-LED-8</t>
  </si>
  <si>
    <t>Product shall continue button press transmit LED illumination pattern from initial button press until successful button press acknowledgement including while in asynchronous state.</t>
  </si>
  <si>
    <t>TR-LED-9</t>
  </si>
  <si>
    <t>Product shall continue button press transmit LED illumination pattern from initial button press until successful button press acknowledgement including while in pseudo-synchronous state.</t>
  </si>
  <si>
    <t>Command</t>
  </si>
  <si>
    <t>TR-LED-15</t>
  </si>
  <si>
    <t>Product shall illuminate LED according to the following pattern when FIND TAG command is received from Core Server:
RED LED: on 250mS off 250mS
Repeat until timeout (30s) or button press acknowledged</t>
  </si>
  <si>
    <t>TR-LED-16</t>
  </si>
  <si>
    <t>Product shall illuminate LED according to the following pattern when LED ON command with value set to "128ms On" is received from Core Server:
GREEN LED: on 128mS off remainder of 3s period</t>
  </si>
  <si>
    <t>TR-LED-17</t>
  </si>
  <si>
    <t>Product shall illuminate LED according to the following pattern when LED ON command with value set to "16ms On" is received from Core Server:
GREEN LED: on 16mS off remainder of 3s period</t>
  </si>
  <si>
    <t>TR-LED-18</t>
  </si>
  <si>
    <t>Product shall illuminate LED according to the following pattern when LED ON command with value set to "2ms On" is received from Core Server:
RED LED: on 250mS off 250mS
Repeat until timeout (30s) or button press acknowledged
NOTE: LED ON (with "2ms On" value selected is treated as FIND TAG command.</t>
  </si>
  <si>
    <t>TR-LED-19</t>
  </si>
  <si>
    <t>Product shall illuminate LED according to the following pattern when LED ON command with value set to "32ms On" is received from Core Server:
GREEN LED: on 32mS off remainder of 3s period</t>
  </si>
  <si>
    <t>TR-LED-20</t>
  </si>
  <si>
    <t>Product shall illuminate LED according to the following pattern when LED ON command with value set to "4ms On" is received from Core Server:
GREEN LED: on 4mS off remainder of 3s period</t>
  </si>
  <si>
    <t>TR-LED-21</t>
  </si>
  <si>
    <t>Product shall illuminate LED according to the following pattern when LED ON command with value set to "64ms On" is received from Core Server:
GREEN LED: on 64mS off remainder of 3s period</t>
  </si>
  <si>
    <t>TR-LED-22</t>
  </si>
  <si>
    <t>Product shall illuminate LED according to the following pattern when LED ON command with value set to "8ms On" is received from Core Server:
GREEN LED: on 8mS off remainder of 3s period</t>
  </si>
  <si>
    <t>TR-LED-31</t>
  </si>
  <si>
    <t>When LED is flashing due to LED ON command received, the LED shall only stop flashing in the following cases:
1. LED OFF command received by product
2. Product enters no motion sleep</t>
  </si>
  <si>
    <t>Functionality</t>
  </si>
  <si>
    <t>TR-LED-7</t>
  </si>
  <si>
    <t>Product shall contain a single, 2-color, LED with the following supported colors:
- GREEN
- RED</t>
  </si>
  <si>
    <t>Sleep_State_Transition</t>
  </si>
  <si>
    <t>TR-LED-27</t>
  </si>
  <si>
    <t>Product shall illuminate LED according to the following pattern, just prior to reset, whenever product transitions from ACTIVE STATE state to INVENTORY SLEEP state:
GREEN LED: 250mS on 250ms off (3x)
RED LED: 250mS on 250ms off (3x)</t>
  </si>
  <si>
    <t>TR-LED-28</t>
  </si>
  <si>
    <t>Product shall illuminate LED according to the following pattern, just prior to reset, whenever product transitions from FACTORY SLEEP state to ACTIVE state:
RED LED: 250mS on 250ms off (3x)
GREEN LED: 250mS on 250ms off (3x)</t>
  </si>
  <si>
    <t>TR-LED-29</t>
  </si>
  <si>
    <t>Product shall illuminate LED according to the following pattern, just prior to reset, whenever product transitions from INVENTORY SLEEP state to ACTIVE state:
RED LED: 250mS on 250ms off (3x)
GREEN LED: 250mS on 250ms off (3x)</t>
  </si>
  <si>
    <t>TR-LED-30</t>
  </si>
  <si>
    <t>Product shall illuminate LED according to the following pattern, just prior to reset, whenever product transitions from sleep state NONE to FACTORY SLEEP state:
GREEN LED: 250mS on 250ms off (3x)
RED LED: 250mS on 250ms off (3x)</t>
  </si>
  <si>
    <t>Visibility</t>
  </si>
  <si>
    <t>TR-LED-1</t>
  </si>
  <si>
    <t>Product GREEN LED shall be visible through housing.</t>
  </si>
  <si>
    <t>TR-LED-2</t>
  </si>
  <si>
    <t>Product GREEN LED shall be visible when watchface accessory is installed.</t>
  </si>
  <si>
    <t>TR-LED-3</t>
  </si>
  <si>
    <t>Product RED LED shall be visible through housing.</t>
  </si>
  <si>
    <t>TR-LED-4</t>
  </si>
  <si>
    <t>Product RED LED shall visible when watchface accessory is installed.</t>
  </si>
  <si>
    <t>LF</t>
  </si>
  <si>
    <t>TR-LF-2</t>
  </si>
  <si>
    <t>Product shall support Noise Reduction algorithm and configuration by profile selection for LF</t>
  </si>
  <si>
    <t>TR-LF-23</t>
  </si>
  <si>
    <t>Product shall support LF Manchester decode.</t>
  </si>
  <si>
    <t>TR-LF-24</t>
  </si>
  <si>
    <t>Product shall support LF PPM decode.</t>
  </si>
  <si>
    <t>TR-LF-25</t>
  </si>
  <si>
    <t>Product shall support Orion LF protocol.</t>
  </si>
  <si>
    <t>TR-LF-26</t>
  </si>
  <si>
    <t>Product shall support Pegasus LF protocol.</t>
  </si>
  <si>
    <t>TR-LF-1</t>
  </si>
  <si>
    <t>Product shall successfully detect and decode LF at a distance of up to 6.5' from LF source when source is operating at maximum power setting.</t>
  </si>
  <si>
    <t>TR-LF-10</t>
  </si>
  <si>
    <t>Product shall meet the following LF functional performance criteria:
- LF error/drop rate : &lt;=2%
Test Setup
- System: Pegasus
- Test sample size: &gt;= 500 LF receives
- Distance to LF Exciter: 7ft
- LF Exciter power level: Low
- LF Exciter Encoding: Manchester
- Product worn on wrist as in comercial environment
- No watchface</t>
  </si>
  <si>
    <t>TR-LF-11</t>
  </si>
  <si>
    <t>Product shall meet the following LF functional performance criteria:
- LF error/drop rate : &lt;=2%
Test Setup
- System: Pegasus
- Test sample size: &gt;= 500 LF receives
- Distance to LF Exciter: 7ft
- LF Exciter power level: Low
- LF Exciter Encoding: Manchester
- Product worn on wrist as in comercial environment
- Watchface installed</t>
  </si>
  <si>
    <t>TR-LF-12</t>
  </si>
  <si>
    <t>Product shall meet the following LF functional performance criteria:
- LF error/drop rate : &lt;=2%
Test Setup
- System: Pegasus
- Test sample size: &gt;= 500 LF receives
- Distance to LF Exciter: 7ft
- LF Exciter power level: Low
- LF Exciter Encoding: PCM
- Product worn on wrist as in comercial environment
- No watchface</t>
  </si>
  <si>
    <t>TR-LF-13</t>
  </si>
  <si>
    <t>Product shall meet the following LF functional performance criteria:
- LF error/drop rate : &lt;=2%
Test Setup
- System: Pegasus
- Test sample size: &gt;= 500 LF receives
- Distance to LF Exciter: 7ft
- LF Exciter power level: Low
- LF Exciter Encoding: PCM
- Product worn on wrist as in comercial environment
- Watchface installed</t>
  </si>
  <si>
    <t>TR-LF-14</t>
  </si>
  <si>
    <t>Product shall meet the following LF functional performance criteria:
- LF error/drop rate : &gt;=98%
Test Setup
- System: Orion
- Test sample size: &gt;= 500 LF receives
- Distance to LF Exciter: 12ft
- LF Exciter power level: High
- LF Exciter Encoding: Manchester
- Product worn on wrist as in comercial environment
- No watchface</t>
  </si>
  <si>
    <t>TR-LF-15</t>
  </si>
  <si>
    <t>Product shall meet the following LF functional performance criteria:
- LF error/drop rate : &gt;=98%
Test Setup
- System: Orion
- Test sample size: &gt;= 500 LF receives
- Distance to LF Exciter: 12ft
- LF Exciter power level: High
- LF Exciter Encoding: Manchester
- Product worn on wrist as in comercial environment
- Watchface installed</t>
  </si>
  <si>
    <t>TR-LF-16</t>
  </si>
  <si>
    <t>Product shall meet the following LF functional performance criteria:
- LF error/drop rate : &gt;=98%
Test Setup
- System: Orion
- Test sample size: &gt;= 500 LF receives
- Distance to LF Exciter: 12ft
- LF Exciter power level: High
- LF Exciter Encoding: PCM
- Product worn on wrist as in comercial environment
- No watchface</t>
  </si>
  <si>
    <t>TR-LF-17</t>
  </si>
  <si>
    <t>Product shall meet the following LF functional performance criteria:
- LF error/drop rate : &gt;=98%
Test Setup
- System: Orion
- Test sample size: &gt;= 500 LF receives
- Distance to LF Exciter: 12ft
- LF Exciter power level: High
- LF Exciter Encoding: PCM
- Product worn on wrist as in comercial environment
- Watchface installed</t>
  </si>
  <si>
    <t>TR-LF-18</t>
  </si>
  <si>
    <t>Product shall meet the following LF functional performance criteria:
- LF error/drop rate : &gt;=98%
Test Setup
- System: Pegasus
- Test sample size: &gt;= 500 LF receives
- Distance to LF Exciter: 12ft
- LF Exciter power level: High
- LF Exciter Encoding: Manchester
- Product worn on wrist as in comercial environment
- No watchface</t>
  </si>
  <si>
    <t>TR-LF-19</t>
  </si>
  <si>
    <t>Product shall meet the following LF functional performance criteria:
- LF error/drop rate : &gt;=98%
Test Setup
- System: Pegasus
- Test sample size: &gt;= 500 LF receives
- Distance to LF Exciter: 12ft
- LF Exciter power level: High
- LF Exciter Encoding: Manchester
- Product worn on wrist as in comercial environment
- Watchface installed</t>
  </si>
  <si>
    <t>TR-LF-20</t>
  </si>
  <si>
    <t>Product shall meet the following LF functional performance criteria:
- LF error/drop rate : &gt;=98%
Test Setup
- System: Pegasus
- Test sample size: &gt;= 500 LF receives
- Distance to LF Exciter: 12ft
- LF Exciter power level: High
- LF Exciter Encoding: PCM
- Product worn on wrist as in comercial environment
- No watchface</t>
  </si>
  <si>
    <t>TR-LF-21</t>
  </si>
  <si>
    <t>Product shall meet the following LF functional performance criteria:
- LF error/drop rate : &gt;=98%
Test Setup
- System: Pegasus
- Test sample size: &gt;= 500 LF receives
- Distance to LF Exciter: 12ft
- LF Exciter power level: High
- LF Exciter Encoding: PCM
- Product worn on wrist as in comercial environment
- Watchface installed</t>
  </si>
  <si>
    <t>TR-LF-22</t>
  </si>
  <si>
    <t>Product shall not detect LF at a distance greater than 10' from LF source when source is operating at maximum power setting.</t>
  </si>
  <si>
    <t>TR-LF-6</t>
  </si>
  <si>
    <t>Product shall meet the following LF functional performance criteria:
- LF error/drop rate : &lt;=2%
Test Setup
- System: Orion
- Test sample size: &gt;= 500 LF receives
- Distance to LF Exciter: 7ft
- LF Exciter power level: Low
- LF Exciter Encoding: Manchester
- Product worn on wrist as in comercial environment
- No watchface</t>
  </si>
  <si>
    <t>TR-LF-7</t>
  </si>
  <si>
    <t>Product shall meet the following LF functional performance criteria:
- LF error/drop rate : &lt;=2%
Test Setup
- System: Orion
- Test sample size: &gt;= 500 LF receives
- Distance to LF Exciter: 7ft
- LF Exciter power level: Low
- LF Exciter Encoding: Manchester
- Product worn on wrist as in comercial environment
- Watchface installed</t>
  </si>
  <si>
    <t>TR-LF-8</t>
  </si>
  <si>
    <t>Product shall meet the following LF functional performance criteria:
- LF error/drop rate : &lt;=2%
Test Setup
- System: Orion
- Test sample size: &gt;= 500 LF receives
- Distance to LF Exciter: 7ft
- LF Exciter power level: Low
- LF Exciter Encoding: PCM
- Product worn on wrist as in comercial environment
- No watchface</t>
  </si>
  <si>
    <t>TR-LF-9</t>
  </si>
  <si>
    <t>Product shall meet the following LF functional performance criteria:
- LF error/drop rate : &lt;=2%
Test Setup
- System: Orion
- Test sample size: &gt;= 500 LF receives
- Distance to LF Exciter: 7ft
- LF Exciter power level: Low
- LF Exciter Encoding: PCM
- Product worn on wrist as in comercial environment
- Watchface installed</t>
  </si>
  <si>
    <t>Locating</t>
  </si>
  <si>
    <t>Egress</t>
  </si>
  <si>
    <t>TR-LOC-51</t>
  </si>
  <si>
    <t>Product shall support detection of exit from facility.</t>
  </si>
  <si>
    <t>TR-LOC-52</t>
  </si>
  <si>
    <t xml:space="preserve">Product shall support notification to server that an exit has occurred.   </t>
  </si>
  <si>
    <t>TR-LOC-53</t>
  </si>
  <si>
    <t>Product shall be capable of locking doors via CenTrak Door Controllers.
i.e. if a Bracelet is near an exit protected by LF Antenna and Door Contoller, the exit should lock down similar to the Secure Tag</t>
  </si>
  <si>
    <t>TR-LOC-55</t>
  </si>
  <si>
    <t>Product shall be capable of locking doors via CenTrak Door Controllers when product is within 5ft of door controller.
i.e. if a Bracelet is near an exit protected by LF Antenna and Door Contoller, the exit should lock down similar to the Secure Tag</t>
  </si>
  <si>
    <t>IR_LF_Report</t>
  </si>
  <si>
    <t>TR-LOC-29</t>
  </si>
  <si>
    <t>Product shall transmit a new location packet immediately following IR decode in the followig scenario:
- ID value prior to IR decode is valid and non-zero
- Decoded IR ID is valid, non-zero, and different from stored value</t>
  </si>
  <si>
    <t>TR-LOC-31</t>
  </si>
  <si>
    <t>When product is in both valid IR field and valid LF field, product shall detect and report both IR ID and LF ID in alternating packets according to system IR profile in Pegasus system:
- Report ID every x seconds alternating between LF ID and IR ID; where x = IR profile defined at server (1.5s, 3s, or 6s)
NOTE: matches legacy IT-744 behavior</t>
  </si>
  <si>
    <t>TR-LOC-32</t>
  </si>
  <si>
    <t>When product is in both valid IR field and valid LF field, product shall detect and report both IR ID and LF ID in alternating packets according to system IR profile in Orion system:
- Report ID every x seconds alternating between LF ID and IR ID; where x = IR profile defined at server (1.5s, 3s, or 6s)
NOTE: matches legacy IT-744 behavior</t>
  </si>
  <si>
    <t>TR-LOC-44</t>
  </si>
  <si>
    <t>Product shall transmit a new location packet immediately following IR decode in the followig scenario:
- ID value prior to IR decode is zero
- Decoded IR ID is valid and non-zero</t>
  </si>
  <si>
    <t>TR-LOC-45</t>
  </si>
  <si>
    <t>Product shall transmit a new location packet immediately following LF decode in the followig scenario:
- ID value prior to LF decode is valid and non-zero
- Decoded LF ID is valid, non-zero, and different from stored value</t>
  </si>
  <si>
    <t>TR-LOC-46</t>
  </si>
  <si>
    <t>Product shall transmit a new Orion location packet immediately following LF decode in the followig scenario:
- ID value prior to LF decode is zero
- Decoded LF ID is valid and non-zero</t>
  </si>
  <si>
    <t>TR-LOC-47</t>
  </si>
  <si>
    <t>Product shall maintain periodic location report rate with no immediate report upon IR decode in the followig scenario:
- Decoded IR ID is the same as stored ID</t>
  </si>
  <si>
    <t>TR-LOC-48</t>
  </si>
  <si>
    <t>Product shall maintain periodic location report rate, with no immediate report upon LF decode, in the followig scenario:
- Decoded LF ID is the same as stored ID</t>
  </si>
  <si>
    <t>TR-LOC-49</t>
  </si>
  <si>
    <t>Product shall maintain periodic location report rate with no immediate report upon IR decode in the followig scenario:
- ID value prior to IR decode is valid and non-zero
- Decoded IR ID is zero</t>
  </si>
  <si>
    <t>TR-LOC-50</t>
  </si>
  <si>
    <t>Product shall maintain periodic location report rate with no immediate report upon LF decode in the followig scenario:
- ID value prior to LF decode is valid and non-zero
- Decoded LF ID is zero</t>
  </si>
  <si>
    <t>Periodic_Report</t>
  </si>
  <si>
    <t>TR-Band-48</t>
  </si>
  <si>
    <t>Product packet report rate and no-motion sleep state shall be configured as follows when product operates in Regular mode:
No-Motion Sleep: Enter sleep after 3 consecutive report cycles without motion
Report Rate: As configured in server and dependant on valid IR/LF field</t>
  </si>
  <si>
    <t>TR-Band-49</t>
  </si>
  <si>
    <t>Product packet report rate and no-motion sleep state shall be configured as follows when product operates in SS mode:
No-Motion Sleep: Never sleep. Active state at all times.
Report Rate: Hard coded to 1 report every 12s.</t>
  </si>
  <si>
    <t>TR-Config-30</t>
  </si>
  <si>
    <t>Product UHF location report rate when configured for operating mode "UHF and BLE", in active state, and in pseudo-paging mode shall be the same as UHF location report rate in synchronous state for that configuration.</t>
  </si>
  <si>
    <t>TR-Config-31</t>
  </si>
  <si>
    <t>Product UHF location report rate when configured for operating mode "UHF Only", in active state, and in pseudo-paging mode shall be the same as UHF location report rate in synchronous state for that configuration.</t>
  </si>
  <si>
    <t>TR-LOC-10</t>
  </si>
  <si>
    <t>Product UHF STAR location report rate when configured as "UHF Only", Regular mode, active state, synchronous state, within valid IR/LF field; shall be set according to the following configurable IR report rate options:
12s: Report location every 12s +/-1s
48s: Report location every 48s +/-2s
120s: Report location every 120s +/-5s
300s: Report location every 300s +/-5s</t>
  </si>
  <si>
    <t>TR-LOC-11</t>
  </si>
  <si>
    <t>Product UHF STAR location report rate when configured as "UHF Only", Regular mode, active state, synchronous state, not within valid IR/LF field; shall be set according to the following configurable RF report rate options:
6s: Report location every 6s +/-1s
12s: Report location every 12s +/-1s
24s: Report location every 24s +/-2s
48s: Report location every 48s +/-2s</t>
  </si>
  <si>
    <t>TR-LOC-12</t>
  </si>
  <si>
    <t>Product UHF STAR location report rate when configured as "UHF Only", Regular mode, active state, pseudo-synchronous state, within valid IR/LF field; shall be set according to the following configurable IR report rate options:
12s: Report location every 12s +/-1s
48s: Report location every 48s +/-2s
120s: Report location every 120s +/-5s
300s: Report location every 300s +/-5s</t>
  </si>
  <si>
    <t>TR-LOC-13</t>
  </si>
  <si>
    <t>Product UHF STAR location report rate when configured as "UHF Only", Regular mode, active state, pseudo-synchronous state, not within valid IR/LF field; shall be set according to the following configurable RF report rate options:
6s: Report location every 6s +/-1s
12s: Report location every 12s +/-1s
24s: Report location every 24s +/-2s
48s: Report location every 48s +/-2s</t>
  </si>
  <si>
    <t>TR-LOC-14</t>
  </si>
  <si>
    <t>Product UHF STAR location report rate when configured as "UHF Only", Regular mode, no-motion sleep state, synchronous state, within valid IR/LF field; shall be set to the following hard coded sleep report rate:
300s: Report location every 300s +/-5s</t>
  </si>
  <si>
    <t>TR-LOC-15</t>
  </si>
  <si>
    <t>Product UHF STAR location report rate when configured as "UHF Only", Regular mode, no-motion sleep state, synchronous state, not within valid IR/LF field; shall be set to the following hard coded sleep report rate:
300s: Report location every 300s +/-5s</t>
  </si>
  <si>
    <t>TR-LOC-16</t>
  </si>
  <si>
    <t>Product UHF STAR location report rate when configured as "UHF Only", Regular mode, no-motion sleep state, pseudo-synchronous state, within valid IR/LF field; shall be set to the following hard coded sleep report rate:
300s: Report location every 300s +/-5s</t>
  </si>
  <si>
    <t>TR-LOC-17</t>
  </si>
  <si>
    <t>Product UHF STAR location report rate when configured as "UHF Only", Regular mode, no-motion sleep state, pseudo-synchronous state, not within valid IR/LF field; shall be set to the following hard coded sleep report rate:
300s: Report location every 300s +/-5s</t>
  </si>
  <si>
    <t>TR-LOC-18</t>
  </si>
  <si>
    <t>Product UHF STAR location report rate when configured as "UHF Only", SS mode, synchronous state, within valid IR/LF field; shall be set to the following hard coded report rate:
12s: Report location every 12s +/-1s</t>
  </si>
  <si>
    <t>TR-LOC-19</t>
  </si>
  <si>
    <r>
      <t xml:space="preserve">Product UHF STAR location report rate when configured as "UHF Only", SS mode, synchronous state, not within valid IR/LF field; shall be set to the following hard coded report rate:
</t>
    </r>
    <r>
      <rPr>
        <sz val="10"/>
        <rFont val="Arial"/>
        <family val="2"/>
      </rPr>
      <t>12s: Report location every 12s +/-1s</t>
    </r>
  </si>
  <si>
    <t>which one?</t>
  </si>
  <si>
    <t>TR-LOC-20</t>
  </si>
  <si>
    <t>Product UHF STAR location report rate when configured as "UHF Only", SS mode, pseudo-synchronous state, within valid IR/LF field; shall be set to the following hard coded report rate:
12s: Report location every 12s +/-1s</t>
  </si>
  <si>
    <t>TR-LOC-21</t>
  </si>
  <si>
    <r>
      <t xml:space="preserve">Product UHF STAR location report rate when configured as "UHF Only", SS mode, pseudo-synchronous state, not within valid IR/LF field; shall be set to the following hard coded report rate:
</t>
    </r>
    <r>
      <rPr>
        <sz val="10"/>
        <rFont val="Arial"/>
        <family val="2"/>
      </rPr>
      <t>12s: Report location every 12s +/-1s</t>
    </r>
  </si>
  <si>
    <t>TR-LOC-5</t>
  </si>
  <si>
    <t xml:space="preserve">Product shall support configurable RF report rate with the following settings: 
6s, 12s, 24s, 48s
NOTE: This is the report rate when product is not within a valid IR field
</t>
  </si>
  <si>
    <t>TR-LOC-7</t>
  </si>
  <si>
    <t>Product UHF STAR location report rate when configured for operating mode "UHF and BLE", Regular mode, active state, synchronous state, and in valid IR field; shall be timed according to the following configurable IR report rate options:
12s: Report location every 12s +/-1s
48s: Report location every 48s +/-2s
120s: Report location every 120s +/-5s
300s: Report location every 300s +/-5s</t>
  </si>
  <si>
    <t>TR-LOC-8</t>
  </si>
  <si>
    <t>Product UHF STAR location report rate when configured for operating mode "UHF and BLE", Regular mode, active state, synchronous state, and not in valid IR field; shall be timed according to the following configurable RF report rate options:
6s: Report location every 6s +/-1s
12s: Report location every 12s +/-1s
24s: Report location every 24s +/-2s
48s: Report location every 48s +/-2s</t>
  </si>
  <si>
    <t>Reception</t>
  </si>
  <si>
    <t>TR-LOC-27</t>
  </si>
  <si>
    <t>Product shall support asynchronous IR reception in Pegasus system.</t>
  </si>
  <si>
    <t>TR-LOC-28</t>
  </si>
  <si>
    <t>Product shall open for IR every "T" seconds according to the formula:
T = IR Profile x (IR RX Profile + 1) seconds
where:
IR Profile = 1.5 or 3 or 6
IR RX Profile =  0 to 20 (inclusive and integer values)</t>
  </si>
  <si>
    <t>TR-LOC-30</t>
  </si>
  <si>
    <t>Product shall support long IR open to receive IR in asynchronous mode in Orion system.</t>
  </si>
  <si>
    <t>TR-LOC-34</t>
  </si>
  <si>
    <t>Product shall support asynchronous IR reception in Orion system.</t>
  </si>
  <si>
    <t>TR-LOC-38</t>
  </si>
  <si>
    <t>Product shall support receiving and decoding IR in asynchronous mode in Orion when product internal clock is synchronized to RF Repeater via RF Repeater Ack.</t>
  </si>
  <si>
    <t>TR-LOC-39</t>
  </si>
  <si>
    <t>Product shall support Receiving and Decoding IR in synchronous mode in Pegasus.</t>
  </si>
  <si>
    <t>TR-LOC-40</t>
  </si>
  <si>
    <t>Product shall support Receiving and Decoding IR in synchronous mode in Orion.</t>
  </si>
  <si>
    <t>TR-LOC-41</t>
  </si>
  <si>
    <t>Product shall support long IR open to receive IR in asynchronous mode in Pegasus system.</t>
  </si>
  <si>
    <t>TR-LOC-42</t>
  </si>
  <si>
    <t>Product shall support Receiving and Decoding IR in asynchronous mode by SUPT Marker Detection in Orion.</t>
  </si>
  <si>
    <t>Report_Method</t>
  </si>
  <si>
    <t>TR-LOC-1</t>
  </si>
  <si>
    <t>Product shall not report location via UHF STAR when configured for operating mode "UHF and BLE" and in asynchronous mode.</t>
  </si>
  <si>
    <t>TR-LOC-2</t>
  </si>
  <si>
    <t>Product shall not report location via UHF STAR when configured for operating mode "UHF Only" and in asynchronous mode.</t>
  </si>
  <si>
    <t>TR-LOC-22</t>
  </si>
  <si>
    <t>Product shall not enable location reporting via BLE when in Safety Solutions mode.
NOTE: Only BLE FW upgrade and product configuration updates are supported in SS mode to reduce battery consumption.</t>
  </si>
  <si>
    <t>TR-LOC-23</t>
  </si>
  <si>
    <t>Product shall not report location over BLE when configured for Multi-Mode, in synchronous mode, and in valid IR field, if "BLE In 900MHz" is disabled.</t>
  </si>
  <si>
    <t>TR-LOC-54</t>
  </si>
  <si>
    <t>Product shall report location over BLE when configured for Multi-Mode, in synchronous mode, and in valid IR field, if "BLE In 900MHz" is enabled.</t>
  </si>
  <si>
    <t>Synchronization</t>
  </si>
  <si>
    <t>TR-LOC-25</t>
  </si>
  <si>
    <t>Product shall support clock synchronization via UHF STAR Ack in Pegasus</t>
  </si>
  <si>
    <t>TR-LOC-26</t>
  </si>
  <si>
    <t>Product shall support clock synchronization via UHF STAR Ack in Orion</t>
  </si>
  <si>
    <t>TR-LOC-33</t>
  </si>
  <si>
    <t>Product shall support clock synchronization via UHF RF Repeater Ack in Orion.</t>
  </si>
  <si>
    <t>TR-LOC-35</t>
  </si>
  <si>
    <t>Product shall synchronize its internal clock to UHF RF Repeater Ack in the following scenario:
- Orion System
- "Repeater Ack Needed" = True (tag configuration field)
- Tag in asynchronous mode (full paging without UHF STAR response)
- Tag in RF Repeater coverage</t>
  </si>
  <si>
    <t>TR-LOC-36</t>
  </si>
  <si>
    <t>Product shall synchronize its internal clock to UHF STAR Ack when in synchronous mode in the Orion System.</t>
  </si>
  <si>
    <t>TR-LOC-37</t>
  </si>
  <si>
    <t>Product shall synchronize its internal clock to UHF STAR Ack when in synchronous mode in the Pegasus System.</t>
  </si>
  <si>
    <t>Manufacturing</t>
  </si>
  <si>
    <t>Interface</t>
  </si>
  <si>
    <t>TR-MFG-1</t>
  </si>
  <si>
    <t>Product shall support Physical Access to JTAG Pads through Battery Compartment</t>
  </si>
  <si>
    <t>TR-MFG-2</t>
  </si>
  <si>
    <t>Product shall support connection to jig to enable Handheld Hardware/Firmware Debugging in the Field</t>
  </si>
  <si>
    <t>TR-MFG-3</t>
  </si>
  <si>
    <t>Product shall support manufacturing programming connection via One Step Jig Attachment</t>
  </si>
  <si>
    <t>TR-MFG-4</t>
  </si>
  <si>
    <t>Product shall support manufacturing test point connection via One Step Jig Attachment</t>
  </si>
  <si>
    <t>Tag_Data</t>
  </si>
  <si>
    <t>TR-MFG-5</t>
  </si>
  <si>
    <t>Product shall only use tag IDs from the Pegasus, Multi-Mode, tag ID range.
NOTE: Tag IDs are provided by manufacturer according to the next available block of IDs in the range.</t>
  </si>
  <si>
    <t>Memory</t>
  </si>
  <si>
    <t>Capacity</t>
  </si>
  <si>
    <t>TR-Mem-1</t>
  </si>
  <si>
    <t>Product shall contain a minimum of 1MB (1024x1024) flash memory.</t>
  </si>
  <si>
    <t>Organization</t>
  </si>
  <si>
    <t>TR-Mem-2</t>
  </si>
  <si>
    <t>Product flash memory shall be organized into the following sections:
- Upgrader FW
- Main FW
- OTA Upgrade FW repository
- LBS
- Summary Information
- Firmware Information
- NVS 2KB
- Active Application Information
- Dynamic Data Memory
- Static Data Memory
- Boot Loader FW</t>
  </si>
  <si>
    <t>Motion</t>
  </si>
  <si>
    <t>Detection</t>
  </si>
  <si>
    <t>TR-Motion-1</t>
  </si>
  <si>
    <t>Product shall support Motion Detection</t>
  </si>
  <si>
    <t>TR-Motion-2</t>
  </si>
  <si>
    <t>Product Shall Reliably Detect Motion</t>
  </si>
  <si>
    <t>TR-Motion-3</t>
  </si>
  <si>
    <t>Product Shall Reliably Reject False Motion</t>
  </si>
  <si>
    <t>Paging</t>
  </si>
  <si>
    <t>Active_Paging</t>
  </si>
  <si>
    <t>TR-Page-1</t>
  </si>
  <si>
    <t>Product paging pattern when configured for operating mode "BLE Only" shall consist of three pages (paging triplet) repeated continuously, according to the following timing:
Intra-triplet gap = 6.5s+/-1s; inter-triplet gap = 300s+/-3s</t>
  </si>
  <si>
    <t>TR-Page-10</t>
  </si>
  <si>
    <t>Product paging pattern when configured for operating mode "UHF and BLE", in active state, and pseudo-synchronous mode; shall consist of a pair of pages (paging pair) repeated continuously, according to the following configurable optons:
Setting = 6.5s: Intra-pair gap = 6.5s+/-1s; inter-pair gap = 6.5s+/-1s
Setting = 9.5s: Intra-pair gap = 6.5s+/-1s; inter-pair gap = 9.5s+/-1s
Setting = 12.5s: Intra-pair gap = 6.5s+/-1s; inter-pair gap = 12.5s+/-1s
Setting = 24.5s: Intra-pair gap = 6.5s+/-1s; inter-pair gap = 24.5s+/-1s</t>
  </si>
  <si>
    <t>TR-Page-11</t>
  </si>
  <si>
    <t>Product paging pattern when configured for operating mode "UHF Only", in active state, and pseudo-synchronous mode; shall consist of a pair of pages (paging pair) repeated continuously, according to the following configurable optons:
Setting = 6.5s: Intra-pair gap = 6.5s+/-1s; inter-pair gap = 6.5s+/-1s
Setting = 9.5s: Intra-pair gap = 6.5s+/-1s; inter-pair gap = 9.5s+/-1s
Setting = 12.5s: Intra-pair gap = 6.5s+/-1s; inter-pair gap = 12.5s+/-1s
Setting = 24.5s: Intra-pair gap = 6.5s+/-1s; inter-pair gap = 24.5s+/-1s</t>
  </si>
  <si>
    <t>TR-Page-2</t>
  </si>
  <si>
    <t>Product paging pattern when configured for operating mode "UHF and BLE", in active state, and asynchronous mode; shall consist of a pair of pages (paging pair) repeated continuously, according to the following configurable timings:
Setting = 6.5s: Intra-pair gap = 6.5s+/-1s; inter-pair gap = 6.5s+/-1s
Setting = 9.5s: Intra-pair gap = 6.5s+/-1s; inter-pair gap = 9.5s+/-1s
Setting = 12.5s: Intra-pair gap = 6.5s+/-1s; inter-pair gap = 12.5s+/-1s
Setting = 24.5s: Intra-pair gap = 6.5s+/-1s; inter-pair gap = 24.5s+/-1s</t>
  </si>
  <si>
    <t>TR-Page-4</t>
  </si>
  <si>
    <t>Product paging pattern when configured for operating mode "UHF Only", in active state, and asynchronous mode; shall consist of a pair of pages (paging pair) repeated continuously, according to the following configurable timings:
Setting = 6.5s: Intra-pair gap = 6.5s+/-1s; inter-pair gap = 6.5s+/-1s
Setting = 9.5s: Intra-pair gap = 6.5s+/-1s; inter-pair gap = 9.5s+/-1s
Setting = 12.5s: Intra-pair gap = 6.5s+/-1s; inter-pair gap = 12.5s+/-1s
Setting = 24.5s: Intra-pair gap = 6.5s+/-1s; inter-pair gap = 24.5s+/-1s</t>
  </si>
  <si>
    <t>TR-Page-7</t>
  </si>
  <si>
    <t>Product shall use active paging profile settings only when configured for operating mode "UHF Only" and "UHF and BLE".</t>
  </si>
  <si>
    <t>Page_Response</t>
  </si>
  <si>
    <t>TR-Page-8</t>
  </si>
  <si>
    <t>Product in asynchronous mode, shall stop paging immediately upon receiving a Page Response packet, associate with (lock to) the STAR ID identified in that packet, and enter into synchronous mode.</t>
  </si>
  <si>
    <t>TR-Page-9</t>
  </si>
  <si>
    <t>Product in pseudo-synchronous mode, shall stop paging immediately upon receiving a Page Response packet, associate with (lock to) the STAR ID identified in that packet, and enter into synchronous mode.</t>
  </si>
  <si>
    <t>Sleep_Paging</t>
  </si>
  <si>
    <t>TR-Page-3</t>
  </si>
  <si>
    <t>Product paging pattern when configured for operating mode "UHF and BLE", in no-motion sleep state, and asynchronous mode; shall consist of three pages (paging triplet) repeated continuously, according to the following timing, independant of active paging profile configuration:
Intra-triplet gap = 6.5s+/-1s; inter-triplet gap = 300s+/-3s</t>
  </si>
  <si>
    <t>TR-Page-5</t>
  </si>
  <si>
    <t>Product paging pattern when configured for operating mode "UHF Only", in no-motion sleep state, and asynchronous mode; shall consist of three pages (paging triplet) repeated continuously, according to the following timing, independant of active paging profile configuration:
Intra-triplet gap = 6.5s+/-1s; inter-triplet gap = 300s+/-3s</t>
  </si>
  <si>
    <t>Platform_Switching</t>
  </si>
  <si>
    <t>Dynamic_Switch</t>
  </si>
  <si>
    <t>TR-Config-11</t>
  </si>
  <si>
    <t>Product shall support dynamically switching to Orion mode based on profile configuration.</t>
  </si>
  <si>
    <t>is this correct or is this handled by paging algorithm?</t>
  </si>
  <si>
    <t>TR-Config-17</t>
  </si>
  <si>
    <t>Product shall support dynamically switching to Pegasus mode based on profile configuration.</t>
  </si>
  <si>
    <t>Polestar</t>
  </si>
  <si>
    <t>TR-Pole-16</t>
  </si>
  <si>
    <t>Product 10-byte BLE Polestar NAO Button Press packet shall contain the following fields:
- Length (1 byte)
- Advertisement Type (1 byte)
- Advertisement Flag (1 byte)
- Data Length (1 byte)
- Data Type (1 byte)
- Unique Identifier (2 bytes)
- Reserved (1 byte)
- Badge ID (1 byte)
- Reserved (1 byte)</t>
  </si>
  <si>
    <t>TR-Pole-17</t>
  </si>
  <si>
    <t>Product shall support forwarding of CenTrak metadata found in a typical 900MHz packet (IRID, LFID, LBI, etc.) via Polestar network.</t>
  </si>
  <si>
    <t>TR-Pole-18</t>
  </si>
  <si>
    <t>Product 10-byte BLE Polestar NAO Button Press packet shall set all fixed fields as follows:
- Length = 0x02
- Advertisement Type = 0x01
- Advertisement Flag = 0x06
- Data Length = 0x06
- Data Type = 0x16
- Unique Identifier = 0xEDFD
- Reserved = 0x10
- Reserved = 0x40</t>
  </si>
  <si>
    <t>TR-Pole-1</t>
  </si>
  <si>
    <t>Product shall support transmitting Polestar BLE location packets to Core Server.</t>
  </si>
  <si>
    <t>TR-Pole-10</t>
  </si>
  <si>
    <t>Product shall disable IR Rx in asynchronous mode.</t>
  </si>
  <si>
    <t>TR-Pole-11</t>
  </si>
  <si>
    <t>Product shall disable LF Rx in asynchronous mode.</t>
  </si>
  <si>
    <t>TR-Pole-12</t>
  </si>
  <si>
    <t>Product shall support profile updates via Polestar network.</t>
  </si>
  <si>
    <t>TR-Pole-13</t>
  </si>
  <si>
    <t>Product shall transmit Polestar BLE pings at 1 ping per burst in active mode.</t>
  </si>
  <si>
    <t>TR-Pole-14</t>
  </si>
  <si>
    <t>Product shall support Polestar BLE profile.</t>
  </si>
  <si>
    <t>TR-Pole-15</t>
  </si>
  <si>
    <t>Product shall support FW upgrades via Polestar network.</t>
  </si>
  <si>
    <t>TR-Pole-19</t>
  </si>
  <si>
    <t>Product Polestar locating shall support floor-level accuracy within 99% (less than 1 error in 100 samples).</t>
  </si>
  <si>
    <t>TR-Pole-2</t>
  </si>
  <si>
    <t>Product shall support Polestar BLE profile updates from Core Server.</t>
  </si>
  <si>
    <t>TR-Pole-20</t>
  </si>
  <si>
    <t>Product Polestar locating shall support location updates in the form of a zonal location ID, which must be compatible with existing CenTrak IDs and end user software products.</t>
  </si>
  <si>
    <t>TR-Pole-21</t>
  </si>
  <si>
    <t>Product shall advertise a burst of 10 Polestar BLE location frames at a rate of 100ms every 5m in sleep.</t>
  </si>
  <si>
    <t>TR-Pole-22</t>
  </si>
  <si>
    <t>Product shall provide Polestar location updates in the form of latitude, longitude, and altitude coordinates.</t>
  </si>
  <si>
    <t>TR-Pole-23</t>
  </si>
  <si>
    <t>Product shall support 2-way communication with Polestar network.</t>
  </si>
  <si>
    <t>TR-Pole-24</t>
  </si>
  <si>
    <t>Product shall support commands via Polestar network.</t>
  </si>
  <si>
    <t>TR-Pole-25</t>
  </si>
  <si>
    <t>Tag shall support transmitting location packets to Core Server via Polestar.</t>
  </si>
  <si>
    <t>TR-Pole-3</t>
  </si>
  <si>
    <t>Product shall support Polestar locating with 10m accuracy.</t>
  </si>
  <si>
    <t>TR-Pole-4</t>
  </si>
  <si>
    <t>Product shall support transmitting Polestar BLE duress button press to Core Server.</t>
  </si>
  <si>
    <t>TR-Pole-5</t>
  </si>
  <si>
    <t>Product shall transmit location packet every 1s.</t>
  </si>
  <si>
    <t>TR-Pole-6</t>
  </si>
  <si>
    <t>Product shall transmit duress button press every 70mS for 2 seconds</t>
  </si>
  <si>
    <t>TR-Pole-7</t>
  </si>
  <si>
    <t>Product shall ignore all button presses other than duress button press.</t>
  </si>
  <si>
    <t>TR-Pole-8</t>
  </si>
  <si>
    <t>Product supports an active BLE report rate of 1s.</t>
  </si>
  <si>
    <t>TR-Pole-9</t>
  </si>
  <si>
    <t>Product supports a sleep BLE report rate of 5m.</t>
  </si>
  <si>
    <t>Regulatory</t>
  </si>
  <si>
    <t>TR-REG-11</t>
  </si>
  <si>
    <t>Product shall comply with the following RF exposure (BLE) regulatory standards:
Radiation Protection Series S-1(Rev. 1) (or latest approved version)
AS/NZS 2772.2:2016+AMD1:2018 (or latest approved version)
Radiocommunications Equipment (General) Rules 2021 (or latest approved version)
IEC 62479:2010 (or latest approved version)
NOTE:  Applies to Australia and New Zealand:</t>
  </si>
  <si>
    <t>TR-REG-13</t>
  </si>
  <si>
    <t>Product shall comply with the following RF emissions, intentional radiator (BLE) regulatory standards:
47 CFR Part 15 Subpart C (or latest approved version)
ANSI C63.10-2013 (or latest approved version)
KDB 558074 D01 15.247 Meas Guidance v05r02 (or latest approved version)
NOTE:  Applies to United States</t>
  </si>
  <si>
    <t>TR-REG-16</t>
  </si>
  <si>
    <t>Product shall comply with the following RF exposure (BLE) regulatory standards:
47 CFR Part 2.1093 (or latest approved version)
KDB 447498 D04 v01 (or latest approved version)
NOTE:  Applies to United States</t>
  </si>
  <si>
    <t>TR-REG-18</t>
  </si>
  <si>
    <t>Product shall comply with the following RF emissions, intentional radiator (BLE) regulatory standards:
RSS-Gen Issue 5 (or latest approved version)
RSS-247 Issue 3 (or latest approved version)
NOTE:  Applies to Canada</t>
  </si>
  <si>
    <t>TR-REG-2</t>
  </si>
  <si>
    <t>Product shall comply with the following RF emissions, intentional radiator (BLE) regulatory standard:
ETSI EN 300 328 V2.2.2 (2019-07) (or latest approved version)
NOTE:  Applies to European Union and United Kingdom</t>
  </si>
  <si>
    <t>TR-REG-21</t>
  </si>
  <si>
    <t>Product shall comply with the following RF exposure (BLE) regulatory standard:
RSS-102 Issue 5 (or latest approved version)
NOTE:  Applies to Canada</t>
  </si>
  <si>
    <t>TR-REG-5</t>
  </si>
  <si>
    <t>Product shall comply with the following RF exposure (BLE) regulatory standards:
EN 62479: 2010 (or latest approved version)
EN 50663: 2017 (or latest approved version)
NOTE:  Applies to European Union and United Kingdom</t>
  </si>
  <si>
    <t>TR-REG-8</t>
  </si>
  <si>
    <t>Product shall comply with the following RF emissions, intentional radiator (BLE) regulatory standard:
AS/NZS 4268:2017
NOTE:  Applies to Australia and New Zealand:</t>
  </si>
  <si>
    <t>Documentation</t>
  </si>
  <si>
    <t>TR-REG-23</t>
  </si>
  <si>
    <t>Product documentation shall contain both English and French language sections.
NOTE:  Applies to Canada</t>
  </si>
  <si>
    <t>Label</t>
  </si>
  <si>
    <t>TR-Label-1</t>
  </si>
  <si>
    <t>Product labeling shall contain both English and French language sections.
NOTE:  Applies to Canada</t>
  </si>
  <si>
    <t>Safety</t>
  </si>
  <si>
    <t>TR-REG-1</t>
  </si>
  <si>
    <t>Product shall comply with the following safety regulatory standards:
IEC 62368-1: 2018 (or latest approved version)
EN IEC 62368-1: 2020+A11: 2020 (or latest approved version)
NOTE:  Applies to European Union and United Kingdom</t>
  </si>
  <si>
    <t>TR-REG-7</t>
  </si>
  <si>
    <t>Product shall comply with the following safety regulatory standards:
IEC 62368-1: 2018 (or latest approved version)
AS/NZS 62368.1:2022 (or latest approved version)
NOTE:  Applies to Australia and New Zealand:</t>
  </si>
  <si>
    <t>TR-REG-12</t>
  </si>
  <si>
    <t>Product shall comply with the following RF exposure (UHF) regulatory standards:
Radiation Protection Series S-1(Rev. 1) (or latest approved version)
AS/NZS 2772.2:2016+AMD1:2018 (or latest approved version)
Radiocommunications Equipment (General) Rules 2021 (or latest approved version)
IEC 62479:2010 (or latest approved version)
NOTE:  Applies to Australia and New Zealand:</t>
  </si>
  <si>
    <t>TR-REG-14</t>
  </si>
  <si>
    <t>Product shall comply with the following RF emissions, intentional radiator (UHF) regulatory standards:
47 CFR Part 15 Subpart C (or latest approved version)
ANSI C63.10-2013 (or latest approved version)
NOTE:  Applies to United States</t>
  </si>
  <si>
    <t>TR-REG-17</t>
  </si>
  <si>
    <t>Product shall comply with the following RF exposure (UHF) regulatory standards:
47 CFR Part 2.1093 (or latest approved version)
KDB 447498 D04 v01 (or latest approved version)
NOTE:  Applies to United States</t>
  </si>
  <si>
    <t>TR-REG-19</t>
  </si>
  <si>
    <t>Product shall comply with the following RF emissions, intentional radiator (UHF) regulatory standards:
RSS-Gen Issue 5 (or latest approved version)
RSS-210 Issue 10 (or latest approved version)
NOTE:  Applies to Canada</t>
  </si>
  <si>
    <t>TR-REG-22</t>
  </si>
  <si>
    <t>Product shall comply with the following RF exposure (UHF) regulatory standard:
RSS-102 Issue 5 (or latest approved version)
NOTE:  Applies to Canada</t>
  </si>
  <si>
    <t>TR-REG-3</t>
  </si>
  <si>
    <t>Product shall comply with the following RF emissions, intentional radiator (UHF) regulatory standards:
ETSI EN 300 220-1 V3.1.1 (2017-02) (or latest approved version)
ETSI EN 300 220-2 V3.2.1 (2018-06) (or latest approved version)
NOTE:  Applies to European Union and United Kingdom</t>
  </si>
  <si>
    <t>TR-REG-6</t>
  </si>
  <si>
    <t>Product shall comply with the following RF exposure (UHF) regulatory standards:
EN 62479: 2010 (or latest approved version)
EN 50663: 2017 (or latest approved version)
NOTE:  Applies to European Union and United Kingdom</t>
  </si>
  <si>
    <t>TR-REG-9</t>
  </si>
  <si>
    <t>Product shall comply with the following RF emissions, intentional radiator (UHF) regulatory standard:
AS/NZS 4268:2017
NOTE:  Applies to Australia and New Zealand:</t>
  </si>
  <si>
    <t>Unintentional_Radiator</t>
  </si>
  <si>
    <t>TR-REG-10</t>
  </si>
  <si>
    <t>Product shall comply with the following RF emissions, unintentional radiator, regulatory standard:
AS/NZS CISPR 32: 2015+AMD1:2020 (or latest approved version)
NOTE:  Applies to Australia and New Zealand:</t>
  </si>
  <si>
    <t>TR-REG-15</t>
  </si>
  <si>
    <t>Product shall comply with the following RF emissions, unintentional radiator, regulatory standard:
47 CFR Part 15 Subpart B
ANSI C63.4-2014
NOTE:  Applies to United States</t>
  </si>
  <si>
    <t>TR-REG-20</t>
  </si>
  <si>
    <t>Product shall comply with the following RF emissions, unintentional radiator, regulatory standard:
ICES-003 (Issue 7, October 15, 2020) (or latest approved version)
NOTE:  Applies to Canada</t>
  </si>
  <si>
    <t>TR-REG-4</t>
  </si>
  <si>
    <t>Product shall comply with the following RF emissions, unintentional radiator, regulatory standards:
ETSI EN 301 489-1 V2.2.3 (2019-11) (or latest approved version)
ETSI EN 301 489-3 V2.3.2 (2023-01) (or latest approved version)
Draft ETSI EN 301 489-17 V3.2.6 (2023-06) (or latest approved version)
NOTE:  Applies to European Union and United Kingdom</t>
  </si>
  <si>
    <t>RF Repeater</t>
  </si>
  <si>
    <t>General_Support</t>
  </si>
  <si>
    <t>TR-RFRPT-19</t>
  </si>
  <si>
    <t>Product shall support Pegasus UHF repeater packet structure.</t>
  </si>
  <si>
    <t>TR-RFRPT-20</t>
  </si>
  <si>
    <t>Product shall support Orion UHF repeater packet structure.</t>
  </si>
  <si>
    <t>TR-RFRPT-21</t>
  </si>
  <si>
    <t>Product shall support RF Repeater functionality.</t>
  </si>
  <si>
    <t>Heartbeat_Mode</t>
  </si>
  <si>
    <t>TR-RFRPT-11</t>
  </si>
  <si>
    <t>Product shall support operating in hard-coded RF Repeater mode in Pegasus.
NOTE: Pegasus hard-coded RF Repeater mode is "Heartbeat" mode.</t>
  </si>
  <si>
    <t>TR-RFRPT-12</t>
  </si>
  <si>
    <t>Product shall not transmit RF Repeater packets when product is configured for RF Repeater mode "Heartbeat", operating in SS mode, and synchronous state.</t>
  </si>
  <si>
    <t>TR-RFRPT-13</t>
  </si>
  <si>
    <t xml:space="preserve">Product shall transmit RF Repeater location packets according to the following rate when product is configured for RF Repeater mode "Heartbeat", operating in SS mode, and pseudo-synchronous state:
- One repeater packet every 12s, transmitted 250mS after UHF STAR packet
</t>
  </si>
  <si>
    <t>TR-RFRPT-14</t>
  </si>
  <si>
    <t xml:space="preserve">Product shall transmit RF Repeater location packets according to the following rate when product is configured for RF Repeater mode "Heartbeat", operating in SS mode, and asynchronous state:
- One repeater packet every 12s, transmitted 250mS after UHF STAR packet
</t>
  </si>
  <si>
    <t>TR-RFRPT-9</t>
  </si>
  <si>
    <t>Product shall support operating in "Heartbeat" RF Repeater mode, configurable on server, in Orion.</t>
  </si>
  <si>
    <t>Location_Mode</t>
  </si>
  <si>
    <t>TR-RFRPT-10</t>
  </si>
  <si>
    <t>Product shall support operating in "Location" RF Repeater mode, configurable on server, in Orion.</t>
  </si>
  <si>
    <t>TR-RFRPT-15</t>
  </si>
  <si>
    <t xml:space="preserve">Product shall transmit RF Repeater location packets according to the following rate when product is configured for RF Repeater mode "Location", operating in SS mode, and pseudo-synchronous state:
- One repeater packet every 12s, transmitted 250mS after UHF STAR packet
</t>
  </si>
  <si>
    <t>TR-RFRPT-16</t>
  </si>
  <si>
    <t xml:space="preserve">Product shall transmit RF Repeater location packets according to the following rate when product is configured for RF Repeater mode "Location", operating in SS mode, and asynchronous state:
- One repeater packet every 12s, transmitted 250mS after UHF STAR packet
</t>
  </si>
  <si>
    <t>TR-RFRPT-17</t>
  </si>
  <si>
    <t xml:space="preserve">Product shall transmit RF Repeater location packets according to the following rate when product is configured for RF Repeater mode "Location", operating in SS mode, and synchronous state:
- One repeater packet every 12s, transmitted 250mS after UHF STAR packet
</t>
  </si>
  <si>
    <t>Repeater_Ack</t>
  </si>
  <si>
    <t>TR-RFRPT-1</t>
  </si>
  <si>
    <t>Product shall support transmitting UHF packets directly to RF Repeaters without RF Repeater acknowledgements.
NOTE: Repeater Ack Needed = False (configurable at server on an individual tag basis)</t>
  </si>
  <si>
    <t>TR-RFRPT-2</t>
  </si>
  <si>
    <t>Product shall support transmitting UHF packets directly to RF Repeaters with RF Repeater acknowledgements.
NOTE: Repeater Ack Needed = True (configurable at server on an individual tag basis)</t>
  </si>
  <si>
    <t>TR-RFRPT-3</t>
  </si>
  <si>
    <t>Product shall synchronize its clock to RF Repeater acknowledgement when product is operating in asynchronous mode and "Repeater Ack Needed" is true.</t>
  </si>
  <si>
    <t>TR-RFRPT-4</t>
  </si>
  <si>
    <t>Product shall synchronize its clock to RF Repeater acknowledgement when product is operating in pseudo-synchronous mode and "Repeater Ack Needed" is true.</t>
  </si>
  <si>
    <t>TR-RFRPT-5</t>
  </si>
  <si>
    <t>Product shall synchronize its clock to STAR acknowledgement when product is operating in synchronous mode.</t>
  </si>
  <si>
    <t>TR-RFRPT-6</t>
  </si>
  <si>
    <t>Product shall support RF Repeater association when "Repeater Ack Needed" is true.</t>
  </si>
  <si>
    <t>TR-RFRPT-7</t>
  </si>
  <si>
    <t>Product configured with "Repeater Ack Needed" = True, without an associated RF Repeater, sending a repeater packet, shall listen for up to 8 different RF Repeater acknowledgements during an 80mS listening period after packet transmission; and associate to the RF Repeater with strongest response as determined by RSSI measured by product.</t>
  </si>
  <si>
    <t>TR-RFRPT-8</t>
  </si>
  <si>
    <t>Product configured with "Repeater Ack Needed" = False, shall not associate with any RF Repeater.</t>
  </si>
  <si>
    <t>Repeater_Mode</t>
  </si>
  <si>
    <t>TR-RFRPT-18</t>
  </si>
  <si>
    <t>Product shall not transmit RF Repeater packets when operating in Regular mode.</t>
  </si>
  <si>
    <t>TR-UHF-10</t>
  </si>
  <si>
    <t>Product shall support 15 RF frequencies when it is in Orion platform</t>
  </si>
  <si>
    <t>TR-UHF-11</t>
  </si>
  <si>
    <t>Product shall support 13 RF frequencies when it is in Pegasus platform</t>
  </si>
  <si>
    <t>TR-UHF-12</t>
  </si>
  <si>
    <t>Product shall use 150 kbps for Wireless upgrade when it is in Orion System</t>
  </si>
  <si>
    <t>TR-UHF-13</t>
  </si>
  <si>
    <t>Product shall use 76.8 kbps for Wireless upgrade when it is in Pegasus System</t>
  </si>
  <si>
    <t>TR-UHF-14</t>
  </si>
  <si>
    <t>Product shall use Orion RF packet structures when it is in Orion System</t>
  </si>
  <si>
    <t>TR-UHF-15</t>
  </si>
  <si>
    <t>Product shall use Pegasus RF packet structures when it is in Pegasus System</t>
  </si>
  <si>
    <t>TR-UHF-23</t>
  </si>
  <si>
    <t>Product shall support Orion UHF location packet structure.</t>
  </si>
  <si>
    <t>TR-UHF-24</t>
  </si>
  <si>
    <t>Product shall support Orion UHF button press packet structure.</t>
  </si>
  <si>
    <t>TR-UHF-25</t>
  </si>
  <si>
    <t>Product shall support Orion UHF paging packet structure.</t>
  </si>
  <si>
    <t>TR-UHF-26</t>
  </si>
  <si>
    <t>Product shall support Orion UHF OTA upgrade packet structure.</t>
  </si>
  <si>
    <t>TR-UHF-27</t>
  </si>
  <si>
    <t>Product shall support UHF frequencies as follows for Orion System:
- Frequency Index / Beacon Frequency / Data Frequency / Repeater Frequency
- 1 / 904MHz / 914MHz / 905.6
- 2 / 905MHz / 915MHz / 906.6
- 3 / 906MHz / 916MHz / 907.6
- 4 / 907MHz / 917MHz / 908.6
- 5 / 908MHz / 918MHz / 909.6
- 6 / 909MHz / 919MHz / 910.6
- 7 / 912MHz / 917MHz / 913.6
- 8 / 915MHz / 918MHz / 916.6
- 9 / 868.9MHz / 869.9MHz / 868.4
- 10 / 868.4MHz / 869.9MHz / 868.9
- 11 / 922MHz / 926MHz / 923.6
- 12 / 865.3MHz / 866.3MHz / 866.7
- 13 / 865.7MHz / 866.7MHz / 866.3
- 14 / 868.25MHz / 868.35MHz / 868.45
- 15 / 921.5MHz / 923.5MHz / 922.5</t>
  </si>
  <si>
    <t>TR-UHF-28</t>
  </si>
  <si>
    <t>Product shall support Pegasus UHF paging packet structure.</t>
  </si>
  <si>
    <t>TR-UHF-29</t>
  </si>
  <si>
    <t>Product shall support the following UHF data rates:
- 50kbps
- 76kbps
- 150kbps.</t>
  </si>
  <si>
    <t>TR-UHF-30</t>
  </si>
  <si>
    <t>Product shall support Pegasus UHF location packet structure.</t>
  </si>
  <si>
    <t>TR-UHF-31</t>
  </si>
  <si>
    <t>Product shall support Pegasus UHF OTA upgrade packet structure.</t>
  </si>
  <si>
    <t>TR-UHF-32</t>
  </si>
  <si>
    <t>Product shall support UHF TX random backoff with 32 distinct backoffs for colision avoidance.</t>
  </si>
  <si>
    <t>TR-UHF-33</t>
  </si>
  <si>
    <t>Product shall support Pegasus UHF button press packet structure.</t>
  </si>
  <si>
    <t>TR-UHF-36</t>
  </si>
  <si>
    <t>Product UHF center frequency shall be tunable during manufacture to align with frequency offset of STARs.</t>
  </si>
  <si>
    <t>TR-UHF-4</t>
  </si>
  <si>
    <t>Product Shall disregard UHF with RSSI of more than -100 in Pegasus</t>
  </si>
  <si>
    <t>TR-UHF-40</t>
  </si>
  <si>
    <t>Product shall support UHF frequencies as follows for Pegasus System:
- Frequency Index / Beacon Frequency / Data Frequency / Repeater Frequency
- 1 / 904MHz / 914MHz / 905.6
- 2 / 905MHz / 915MHz / 906.6
- 3 / 906MHz / 916MHz / 907.6
- 4 / 907MHz / 917MHz / 908.6
- 5 / 908MHz / 918MHz / 909.6
- 6 / 909MHz / 919MHz / 910.6
- 7 / 912MHz / 917MHz / 913.6
- 8 / 915MHz / 918MHz / 916.6
- 9 / 868.9MHz / 869.9MHz / 868.4
- 10 / 868.4MHz / 869.9MHz / 868.9
- 11 / 922MHz / 926MHz / 923.6
- 12 / 865.3MHz / 866.3MHz / 866.7
- 13 / 865.7MHz / 866.7MHz / 866.3</t>
  </si>
  <si>
    <t>TR-UHF-41</t>
  </si>
  <si>
    <t>Product Shall Support UHF receive at 35ft under typical application condition in Orion</t>
  </si>
  <si>
    <t>TR-UHF-5</t>
  </si>
  <si>
    <t>Product Shall disregard UHF with RSSI of more than -100 in Orion</t>
  </si>
  <si>
    <t>TR-UHF-6</t>
  </si>
  <si>
    <t>Product shall support UHF TX at maximum power level of no less than 0dBm in Pegasus.</t>
  </si>
  <si>
    <t>TR-UHF-7</t>
  </si>
  <si>
    <t>Product shall support UHF TX at maximum power level of no less than 0dBm in Orion.</t>
  </si>
  <si>
    <t>TR-UHF-8</t>
  </si>
  <si>
    <t>Product shall use 50 kbps bitrate for RF communication when it is in Orion system</t>
  </si>
  <si>
    <t>TR-UHF-9</t>
  </si>
  <si>
    <t>Product shall use 76.8 kbps bitrate for RF communication when it is in Pegasus system</t>
  </si>
  <si>
    <t>TR-UHF-1</t>
  </si>
  <si>
    <t>Product shall support UHF receive at 35ft under typical application condition in Pegasus</t>
  </si>
  <si>
    <t>TR-UHF-16</t>
  </si>
  <si>
    <t>Product shall meet the following UHF functional performance criteria:
- Location packet error rate as observed on server: &lt;=10%
Test Setup
- System: Pegasus
- UHF report rate: 12s (SS mode)
- Test Duration: &gt;= 1 hour
- Distance to STAR: 50ft
- Product worn on wrist as in comercial environment
- Congestion1: Fewer than 25 other devices locked to STAR
- Congestion2: Isolate frequency to avoid test environment congestion</t>
  </si>
  <si>
    <t>TR-UHF-17</t>
  </si>
  <si>
    <t>Product shall meet the following UHF functional performance criteria:
- Location packet error rate as observed on server: &lt;=10%
Test Setup
- System: Orion
- UHF report rate: 12s (SS mode)
- Test Duration: &gt;= 1 hour
- Distance to STAR: 50ft
- Product worn on wrist as in comercial environment
- Congestion1: Fewer than 25 other devices locked to STAR
- Congestion2: Isolate frequency to avoid test environment congestion</t>
  </si>
  <si>
    <t>TR-UHF-18</t>
  </si>
  <si>
    <t>Product shall meet all UHF parametric performance criteria at all supported UHF bitrates.</t>
  </si>
  <si>
    <t>TR-UHF-19</t>
  </si>
  <si>
    <t>Product shall meet all UHF parametric performance criteria on all supported UHF channels.</t>
  </si>
  <si>
    <t>TR-UHF-2</t>
  </si>
  <si>
    <t>Product shall support receiving UHF packets with RSSI &gt;= -85dBm in Pegasus</t>
  </si>
  <si>
    <t>TR-UHF-20</t>
  </si>
  <si>
    <t>Product RX UHF performance shall be reduced by no more than 5% as a result of wearing product on skin as it would be worn by end user.</t>
  </si>
  <si>
    <t>TR-UHF-21</t>
  </si>
  <si>
    <t>Product shall meet the following UHF functional performance criteria:
- Location packet error rate as observed on server: &lt;=2%
Test Setup
- System: Pegasus
- UHF report rate: 12s (SS mode)
- Test Duration: &gt;= 1 hour
- Distance to STAR: 35ft
- Product worn on wrist as in comercial environment
- Congestion1: Fewer than 25 other devices locked to STAR
- Congestion2: Isolate frequency to avoid test environment congestion</t>
  </si>
  <si>
    <t>TR-UHF-22</t>
  </si>
  <si>
    <t>Product shall meet the following UHF functional performance criteria:
- Location packet error rate as observed on server: &lt;=2%
Test Setup
- System: Orion
- UHF report rate: 12s (SS mode)
- Test Duration: &gt;= 1 hour
- Distance to STAR: 35ft
- Product worn on wrist as in comercial environment
- Congestion1: Fewer than 25 other devices locked to STAR
- Congestion2: Isolate frequency to avoid test environment congestion</t>
  </si>
  <si>
    <t>TR-UHF-3</t>
  </si>
  <si>
    <t>Product shall support receiving UHF packets with RSSI &gt;= -85dBm in Orion</t>
  </si>
  <si>
    <t>TR-UHF-34</t>
  </si>
  <si>
    <t>Product TX UHF performance shall be reduced by no more than 5% as a result of wearing product on skin as it would be worn by end user.</t>
  </si>
  <si>
    <t>TR-UHF-35</t>
  </si>
  <si>
    <t>Product UHF antenna efficiency shall be -10dBi or better.</t>
  </si>
  <si>
    <t>TR-UHF-37</t>
  </si>
  <si>
    <t>Product UHF performance shall meet RX packet error rate as follows:
- PER &lt;= 5%
- STAR positioned 10ft from ground, flat with antenna side facing down.
- Horizontal distance between STAR and product = 35ft
- Spec applies to worst-case product/STAR orientation.
- Packet Error Rate measured at Product</t>
  </si>
  <si>
    <t>TR-UHF-38</t>
  </si>
  <si>
    <t>Product UHF performance shall meet TX packet error rate as follows:
- PER &lt;= 5%
- STAR positioned 10ft from ground, flat with antenna side facing down.
- Horizontal distance between STAR and product = 35ft
- Spec applies to worst-case product/STAR orientation.
- Packet Error Rate measured at STAR</t>
  </si>
  <si>
    <t>TR-UHF-39</t>
  </si>
  <si>
    <t>Product UHF performance shall meet TX Upacket RSSI as follows:
- RSSI &gt;= -85dBm
- STAR positioned 10ft from ground, flat with antenna side facing down.
- Horizontal distance between STAR and product = 35ft
- Spec applies to worst-case product/STAR orientation.
- Product TX UHF RSSI value reported in Core Server.</t>
  </si>
  <si>
    <t>Watch Face</t>
  </si>
  <si>
    <t>TR-Watch-2</t>
  </si>
  <si>
    <t>Product shall function as intended, with no performance impacts, with the exception of IR locating, when watch face accessory is installed.
NOTE: IR functionality will be impaired and should be disabled in this configuration.</t>
  </si>
  <si>
    <t>Figure 3</t>
  </si>
  <si>
    <t>Timepiece</t>
  </si>
  <si>
    <t>Pass criteria</t>
  </si>
  <si>
    <t>Hardware-Mechanical</t>
  </si>
  <si>
    <t>The product is an accessory to the existing WTD enclosure replacing the WTD cover and icorporating a third party watch. The  Timepiece should be compatible with the existing  WTD Tag and Sesure Safety Bracelet that is under development</t>
  </si>
  <si>
    <t xml:space="preserve">The shape of the Watch cover should have a match with the WTD enclosure Bottom and should not missalign more than +/- 0.15 mm </t>
  </si>
  <si>
    <t xml:space="preserve">The Watchcover should not colide with the comonent placemet of the WTD PCBA </t>
  </si>
  <si>
    <t>The Watchcover should not colide with the comonent placemet of the Secure safety Bracelet PCBA</t>
  </si>
  <si>
    <t>The watch thickness must be less or equal to 8mm. The watch shape should be rounded with diameter btween than 37 to 40 mm</t>
  </si>
  <si>
    <t>The Dial design to be aptopriate fo alderly people, with digits font size not less than 10pt. The dial design must be approved by CenTrak</t>
  </si>
  <si>
    <t>Watch maintenance. The design of the Watchcover should allow dissassembly and maintenance of the watch</t>
  </si>
  <si>
    <t>The WTD UHF performance with Watch Face should be not less than 80% of the RSSI of the tags with regular WTD covers.</t>
  </si>
  <si>
    <t>The Secure Safety Bracelet UHF performance with Timepiece should be not less than 80% of the RSSI of the tags with regular WTD covers.</t>
  </si>
  <si>
    <t>The SS Bracelet LF performance with the watch face should be not less than 80% of the range of the tag with regular WTD covers with button and solod face</t>
  </si>
  <si>
    <t>The WTD LF performance with watch face should be not less than 80% of the range of the tag with regular WTD covers with button and solod face</t>
  </si>
  <si>
    <t>Supporting IR functionality is not required with the Timepiece accessory</t>
  </si>
  <si>
    <t>The LED blinking must be detected. The intensity can be less than with the WTD button cover and WTD solid face cover</t>
  </si>
  <si>
    <t>IP</t>
  </si>
  <si>
    <t>WTD enclosure with Watch cover should comply IP67</t>
  </si>
  <si>
    <t>Watch rating - IP54</t>
  </si>
  <si>
    <t>PRD-010</t>
  </si>
  <si>
    <t>Enviornmental</t>
  </si>
  <si>
    <t>The watch face cleaning and disinfection should be with Sani wipes or comatible</t>
  </si>
  <si>
    <t xml:space="preserve">Drop test. The WTD enclosure with watch face should withstand a drop from 1.5m on a ceramic floor without breaking. </t>
  </si>
  <si>
    <t>No certification required</t>
  </si>
  <si>
    <t>PRD-013</t>
  </si>
  <si>
    <t>TR Description</t>
  </si>
  <si>
    <t>TR ID</t>
  </si>
  <si>
    <t>Dynamic_Platform_Switching</t>
  </si>
  <si>
    <t>Profile_Based</t>
  </si>
  <si>
    <t>Product Shall Comply with IP66 Ingress rating.</t>
  </si>
  <si>
    <t>TR-IR-60</t>
  </si>
  <si>
    <t>Product in Door Controller LF field (detecting LF ID 3501-4094) shall not open for IR.</t>
  </si>
  <si>
    <t>Orion_Asynchronous</t>
  </si>
  <si>
    <t>Product shall support marker-based IR open to receive IR in asynchronous mode in Orion system.</t>
  </si>
  <si>
    <t>Product shall support marker-based IR detection in asynchronous mode in Orion.</t>
  </si>
  <si>
    <t>TR-IR-61</t>
  </si>
  <si>
    <t>Product in asynchronous state, configured for Orion system, Operating Mode: UHF Only, Range Extender Mode: Heartbeat, and with secure band connected; shall open for IR according to marker-based asynchronous IR configuration.
NOTE: independent of Profile, valid IR, and motion</t>
  </si>
  <si>
    <t>TR-IR-62</t>
  </si>
  <si>
    <t>Product in asynchronous state, configured for Orion system, Operating Mode: UHF Only, Range Extender Mode: Location, and with secure band connected; shall open for IR according to marker-based asynchronous IR configuration.
NOTE: independent of Profile, valid IR, and motion</t>
  </si>
  <si>
    <t>TR-IR-63</t>
  </si>
  <si>
    <t>Product in asynchronous state, configured for Orion system, Operating Mode: UHF Only, Profile: Regular Mode, and with secure band disconnected; shall not open for IR.
NOTE: independent of Range Extender Mode, valid IR, and motion</t>
  </si>
  <si>
    <t>TR-IR-64</t>
  </si>
  <si>
    <t>Product in asynchronous state, configured for Orion system, Operating Mode: UHF Only, Profile: Regular Mode, Range Extender Mode: None, and with secure band connected; shall not open for IR.
NOTE: independent of valid IR and motion</t>
  </si>
  <si>
    <t>TR-IR-65</t>
  </si>
  <si>
    <t>Product in asynchronous state, configured for Orion system, Operating Mode: UHF Only, Profile: SS Mode, Range Extender Mode: Heartbeat, and with secure band disconnected; shall not open for IR.
NOTE: independent of valid IR and motion</t>
  </si>
  <si>
    <t>TR-IR-66</t>
  </si>
  <si>
    <t>Product in asynchronous state, configured for Orion system, Operating Mode: UHF Only, Profile: SS Mode, Range Extender Mode: Location, and with secure band disconnected; shall not open for IR.
NOTE: independent of valid IR and motion</t>
  </si>
  <si>
    <t>TR-IR-67</t>
  </si>
  <si>
    <t>Product in asynchronous state, configured for Orion system, Operating Mode: UHF Only, Profile: SS Mode, and Range Extender Mode: None; shall not open for IR.
NOTE: independent of valid IR and motion, and band connection</t>
  </si>
  <si>
    <t>Orion_Synchronous</t>
  </si>
  <si>
    <t>Product shall open for IR every "T" seconds according to the formula:
T = IR Profile x (IR RX Profile + 1) seconds in Orion system.
where:
IR Profile = 1.5 or 3 or 6
IR RX Profile =  0 to 20 (inclusive and integer values)</t>
  </si>
  <si>
    <t>TR-IR-68</t>
  </si>
  <si>
    <t>Product in synchronous state, configured for Orion system, Operating Mode: UHF Only, Profile: Regular Mode, with secure band disconnected, and not in motion; shall not open for IR.
NOTE: independent of Range Extender Mode and valid IR</t>
  </si>
  <si>
    <t>TR-IR-69</t>
  </si>
  <si>
    <t>Product in synchronous state, configured for Orion system, Operating Mode: UHF Only, Profile: Regular Mode, Range Extender Mode: Heartbeat, and with secure band connected; shall open for IR according to synchronous IR configuration.
NOTE: independent of motion and valid IR</t>
  </si>
  <si>
    <t>TR-IR-70</t>
  </si>
  <si>
    <t>Product in synchronous state, configured for Orion system, Operating Mode: UHF Only, Profile: Regular Mode, Range Extender Mode: Location, and with secure band connected; shall open for IR according to synchronous IR configuration.
NOTE: independent of motion and valid IR</t>
  </si>
  <si>
    <t>TR-IR-71</t>
  </si>
  <si>
    <t>Product in synchronous state, configured for Orion system, Operating Mode: UHF Only, Profile: Regular Mode, Range Extender Mode: None, and with secure band connected; shall open for IR according to synchronous IR configuration.
NOTE: independent of motion and valid IR</t>
  </si>
  <si>
    <t>TR-IR-72</t>
  </si>
  <si>
    <t>Product in synchronous state, configured for Orion system, Operating Mode: UHF Only, Profile: SS Mode, and Range Extender Mode: Heartbeat; shall open for IR according to synchronous IR configuration.
NOTE: independent of motion, valid IR, and band connection</t>
  </si>
  <si>
    <t>TR-IR-73</t>
  </si>
  <si>
    <t>Product in synchronous state, configured for Orion system, Operating Mode: UHF Only, Profile: SS Mode, and Range Extender Mode: Location; shall open for IR according to synchronous IR configuration.
NOTE: independent of motion, valid IR, and band connection</t>
  </si>
  <si>
    <t>TR-IR-74</t>
  </si>
  <si>
    <t>Product in synchronous state, configured for Orion system, Operating Mode: UHF Only, Profile: SS Mode, and Range Extender Mode: None; shall open for IR according to synchronous IR configuration.
NOTE: independent of motion, valid IR, and band connection</t>
  </si>
  <si>
    <t>TR-IR-75</t>
  </si>
  <si>
    <t>Product in synchronous state, configured for Orion system, Operating Mode: UHF Only, Profile: Regular Mode, with secure band disconnected, and in motion; shall open for IR according to synchronous IR configuration.
NOTE: independent of Range Extender Mode and valid IR</t>
  </si>
  <si>
    <t>Pegasus_Asynchronous</t>
  </si>
  <si>
    <t>TR-IR-76</t>
  </si>
  <si>
    <t>Product in asynchronous state, configured for Pegasus system, Operating Mode: UHF Only, and with secure band connected; shall open for IR according to long-IR asynchronous IR configuration.
NOTE: independent of Profile, valid IR, and motion</t>
  </si>
  <si>
    <t>TR-IR-77</t>
  </si>
  <si>
    <t>Product in asynchronous state, configured for Pegasus system, Operating Mode: UHF Only, Profile: Regular Mode, and with secure band disconnected; shall not open for IR.
NOTE: independent of valid IR and motion</t>
  </si>
  <si>
    <t>TR-IR-78</t>
  </si>
  <si>
    <t>Product in asynchronous state, configured for Pegasus system, Operating Mode: UHF Only, Profile: SS Mode, and with secure band disconnected; shall not open for IR.
NOTE: independent of valid IR and motion</t>
  </si>
  <si>
    <t>Pegasus_Synchronous</t>
  </si>
  <si>
    <t>TR-IR-79</t>
  </si>
  <si>
    <t>Product in synchronous state, configured for Pegasus system, Operating Mode: UHF Only, Profile: Regular Mode, and with secure band connected; shall open for IR according to synchronous IR configuration.
NOTE: independent of motion and valid IR</t>
  </si>
  <si>
    <t>TR-IR-80</t>
  </si>
  <si>
    <t>Product in synchronous state, configured for Pegasus system, Operating Mode: UHF Only, Profile: Regular Mode, with secure band disconnected, and not in motion; shall not open for IR.
NOTE: independent of valid IR</t>
  </si>
  <si>
    <t>TR-IR-81</t>
  </si>
  <si>
    <t>Product in synchronous state, configured for Pegasus system, Operating Mode: UHF Only, and Profile: SS Mode; shall open for IR according to synchronous IR configuration.
NOTE: independent of motion, valid IR, and band connection</t>
  </si>
  <si>
    <t>TR-IR-82</t>
  </si>
  <si>
    <t>Product in synchronous state, configured for Pegasus system, Operating Mode: UHF Only, Profile: Regular Mode, with secure band disconnected, and in motion; shall open for IR according to synchronous IR configuration.
NOTE: Independent of valid IR</t>
  </si>
  <si>
    <t>TR-LOC-56</t>
  </si>
  <si>
    <t>Product in Door Controller LF field (detecting LF ID 3501-4094) shall not transmit location packets.</t>
  </si>
  <si>
    <t>TR-LOC-57</t>
  </si>
  <si>
    <t>Product in Door Controller LF field (detecting LF ID 3501-4094) shall transmit WPS packets every 3 seconds in Orion system.</t>
  </si>
  <si>
    <t>TR-LOC-58</t>
  </si>
  <si>
    <t>Product in Door Controller LF field (detecting LF ID 3501-4094) shall transmit WPS packets every 30 seconds in Pegasus system.</t>
  </si>
  <si>
    <t>IR_LF_Transitions</t>
  </si>
  <si>
    <t>TR-LOC-59</t>
  </si>
  <si>
    <t>Product in asynchronous state, configured for Orion system, Operating Mode: UHF Only, Range Extender Mode: Heartbeat, and with secure band connected; shall transmit page requests according to active page rate configuration.
NOTE: independent of Profile, valid IR, and motion</t>
  </si>
  <si>
    <t>TR-LOC-60</t>
  </si>
  <si>
    <t>Product in asynchronous state, configured for Orion system, Operating Mode: UHF Only, Range Extender Mode: Location, and with secure band connected; shall transmit page requests according to active page rate configuration.
NOTE: independent of Profile, valid IR, and motion</t>
  </si>
  <si>
    <t>TR-LOC-61</t>
  </si>
  <si>
    <t>Product in asynchronous state, configured for Orion system, Operating Mode: UHF Only, Profile: Regular Mode, with secure band disconnected, and not in motion; shall transmit page requests according to sleep page rate configuration.
NOTE: independent of Range Extender Mode and valid IR</t>
  </si>
  <si>
    <t>TR-LOC-62</t>
  </si>
  <si>
    <t>Product in asynchronous state, configured for Orion system, Operating Mode: UHF Only, Profile: Regular Mode, with secure band disconnected, and in motion; shall transmit page requests according to active page rate configuration.
NOTE: independent of Range Extender Mode and valid IR</t>
  </si>
  <si>
    <t>TR-LOC-63</t>
  </si>
  <si>
    <t>Product in asynchronous state, configured for Orion system, Operating Mode: UHF Only, Profile: Regular Mode, Range Extender Mode: None, and with secure band connected; shall transmit page requests according to active page rate configuration.
NOTE: independent of valid IR and motion</t>
  </si>
  <si>
    <t>TR-LOC-64</t>
  </si>
  <si>
    <t>Product in asynchronous state, configured for Orion system, Operating Mode: UHF Only, Profile: SS Mode, Range Extender Mode: Heartbeat, and with secure band disconnected; shall transmit page requests according to active page rate configuration.
NOTE: independent of valid IR and motion</t>
  </si>
  <si>
    <t>TR-LOC-65</t>
  </si>
  <si>
    <t>Product in asynchronous state, configured for Orion system, Operating Mode: UHF Only, Profile: SS Mode, Range Extender Mode: Location, and with secure band disconnected; shall transmit page requests according to active page rate configuration.
NOTE: independent of valid IR and motion</t>
  </si>
  <si>
    <t>TR-LOC-66</t>
  </si>
  <si>
    <t>Product in asynchronous state, configured for Orion system, Operating Mode: UHF Only, Profile: SS Mode, and Range Extender Mode: None; shall transmit page requests according to active page rate configuration.
NOTE: independent of valid IR and motion, and band connection</t>
  </si>
  <si>
    <t>TR-LOC-67</t>
  </si>
  <si>
    <t>Product in synchronous state, configured for Orion system, Operating Mode: UHF Only, Profile: Regular Mode, with secure band disconnected, and not in motion; shall transmit UHF location packet to STAR every 5 minutes.
NOTE: independent of Range Extender Mode and valid IR</t>
  </si>
  <si>
    <t>TR-LOC-68</t>
  </si>
  <si>
    <t>Product in synchronous state, configured for Orion system, Operating Mode: UHF Only, Profile: Regular Mode, Range Extender Mode: Heartbeat, and with secure band connected; shall transmit UHF location packet to STAR every 12 seconds.
NOTE: independent of motion and valid IR</t>
  </si>
  <si>
    <t>TR-LOC-69</t>
  </si>
  <si>
    <t>Product in synchronous state, configured for Orion system, Operating Mode: UHF Only, Profile: Regular Mode, Range Extender Mode: Location, and with secure band connected; shall transmit UHF location packet to STAR every 12 seconds.
NOTE: independent of motion and valid IR</t>
  </si>
  <si>
    <t>TR-LOC-70</t>
  </si>
  <si>
    <t>Product in synchronous state, configured for Orion system, Operating Mode: UHF Only, Profile: Regular Mode, Range Extender Mode: None, and with secure band connected; shall transmit UHF location packet to STAR every 12 seconds.
NOTE: independent of motion and valid IR</t>
  </si>
  <si>
    <t>TR-LOC-71</t>
  </si>
  <si>
    <t>Product in synchronous state, configured for Orion system, Operating Mode: UHF Only, Profile: SS Mode, and Range Extender Mode: Heartbeat; shall transmit UHF location packet to STAR every 12 seconds.
NOTE: independent of motion, valid IR, and band connection</t>
  </si>
  <si>
    <t>TR-LOC-72</t>
  </si>
  <si>
    <t>Product in synchronous state, configured for Orion system, Operating Mode: UHF Only, Profile: SS Mode, and Range Extender Mode: Location; shall transmit UHF location packet to STAR every 12 seconds.
NOTE: independent of motion, valid IR, and band connection</t>
  </si>
  <si>
    <t>TR-LOC-73</t>
  </si>
  <si>
    <t>Product in synchronous state, configured for Orion system, Operating Mode: UHF Only, Profile: SS Mode, and Range Extender Mode: None; shall transmit UHF location packet to STAR every 12 seconds.
NOTE: independent of motion, valid IR, and band connection</t>
  </si>
  <si>
    <t>TR-LOC-74</t>
  </si>
  <si>
    <t>Product in synchronous state, configured for Orion system, Operating Mode: UHF Only, Profile: Regular Mode, with secure band disconnected, in a valid IR field, and in motion; shall transmit UHF location packet to STAR according to active IR Report Rate.
NOTE: independent of Range Extender Mode</t>
  </si>
  <si>
    <t>TR-LOC-75</t>
  </si>
  <si>
    <t>Product in synchronous state, configured for Orion system, Operating Mode: UHF Only, Profile: Regular Mode, with secure band disconnected, not in a valid IR field, and in motion; shall transmit UHF location packet to STAR according to active RF Report Rate.
NOTE: independent of Range Extender Mode</t>
  </si>
  <si>
    <t>TR-LOC-76</t>
  </si>
  <si>
    <t>Product in asynchronous state, configured for Pegasus system, Operating Mode: UHF Only, and with secure band connected; shall transmit page requests according to active page rate configuration.
NOTE: independent of Profile, valid IR, and motion</t>
  </si>
  <si>
    <t>TR-LOC-77</t>
  </si>
  <si>
    <t>Product in asynchronous state, configured for Pegasus system, Operating Mode: UHF Only, Profile: Regular Mode, with secure band disconnected, and not in motion; shall transmit page requests according to sleep page rate configuration.
NOTE: independent of valid IR</t>
  </si>
  <si>
    <t>TR-LOC-78</t>
  </si>
  <si>
    <t>Product in asynchronous state, configured for Pegasus system, Operating Mode: UHF Only, Profile: Regular Mode, with secure band disconnected, and in motion; shall transmit page requests according to active page rate configuration.
NOTE: independent of valid IR</t>
  </si>
  <si>
    <t>TR-LOC-79</t>
  </si>
  <si>
    <t>Product in asynchronous state, configured for Pegasus system, Operating Mode: UHF Only, Profile: SS Mode, and with secure band disconnected; shall transmit page requests according to active page rate configuration.
NOTE: independent of valid IR and motion</t>
  </si>
  <si>
    <t>TR-LOC-80</t>
  </si>
  <si>
    <t>Product in synchronous state, configured for Pegasus system, Operating Mode: UHF Only, Profile: Regular Mode, and with secure band connected; shall transmit UHF location packet to STAR every 12 seconds.
NOTE: independent of motion and valid IR</t>
  </si>
  <si>
    <t>TR-LOC-81</t>
  </si>
  <si>
    <t>Product in synchronous state, configured for Pegasus system, Operating Mode: UHF Only, Profile: Regular Mode, with secure band disconnected, and not in motion; shall transmit UHF location packet to STAR every 5 minutes.
NOTE: independent of valid IR</t>
  </si>
  <si>
    <t>TR-LOC-82</t>
  </si>
  <si>
    <t>Product in synchronous state, configured for Pegasus system, Operating Mode: UHF Only, and Profile: SS Mode; shall transmit UHF location packet to STAR every 12 seconds.
NOTE: independent of motion, valid IR, and band connection</t>
  </si>
  <si>
    <t>TR-LOC-83</t>
  </si>
  <si>
    <t>Product in synchronous state, configured for Pegasus system, Operating Mode: UHF Only, Profile: Regular Mode, with secure band disconnected, in a valid IR field, and in motion; shall transmit UHF location packet to STAR according to active IR Report Rate.</t>
  </si>
  <si>
    <t>TR-LOC-84</t>
  </si>
  <si>
    <t>Product in synchronous state, configured for Pegasus system, Operating Mode: UHF Only, Profile: Regular Mode, with secure band disconnected, not in a valid IR field, and in motion; shall transmit UHF location packet to STAR according to active RF Report Rate.</t>
  </si>
  <si>
    <t>Periodic_Report_Rate</t>
  </si>
  <si>
    <t>Product UHF location report rate when configured for operating mode "UHF and BLE", in active state, and in pseudo-paging mode shall be identical to UHF location report rate in synchronous state for that same configuration.</t>
  </si>
  <si>
    <t>Product UHF location report rate when configured for operating mode "UHF Only", in active state, and in pseudo-paging mode shall be identical to UHF location report rate in synchronous state for that same configuration.</t>
  </si>
  <si>
    <t>TR-RFRPT-22</t>
  </si>
  <si>
    <t>Product in asynchronous state, configured for Orion system, Operating Mode: UHF Only, Range Extender Mode: Heartbeat, and with secure band connected; shall transmit UHF location packet to repeater every 12 seconds.
NOTE: independent of Profile, valid IR, and motion</t>
  </si>
  <si>
    <t>TR-RFRPT-23</t>
  </si>
  <si>
    <t>Product in asynchronous state, configured for Orion system, Operating Mode: UHF Only, Range Extender Mode: Location, and with secure band connected; shall transmit UHF location packet to repeater every 12 seconds.
NOTE: independent of Profile, valid IR, and motion</t>
  </si>
  <si>
    <t>TR-RFRPT-24</t>
  </si>
  <si>
    <t>Product in asynchronous state, configured for Orion system, Operating Mode: UHF Only, Profile: Regular Mode, with secure band disconnected, and not in motion; shall not transmit UHF location packet to repeater.
NOTE: independent of Range Extender Mode and valid IR</t>
  </si>
  <si>
    <t>TR-RFRPT-25</t>
  </si>
  <si>
    <t>Product in asynchronous state, configured for Orion system, Operating Mode: UHF Only, Profile: Regular Mode, with secure band disconnected, and in motion; shall not transmit UHF location packet to repeater.
NOTE: independent of Range Extender Mode and valid IR</t>
  </si>
  <si>
    <t>TR-RFRPT-26</t>
  </si>
  <si>
    <t>Product in asynchronous state, configured for Orion system, Operating Mode: UHF Only, Profile: Regular Mode, Range Extender Mode: None, and with secure band connected; shall not transmit UHF location packet to repeater.
NOTE: independent of valid IR and motion</t>
  </si>
  <si>
    <t>TR-RFRPT-27</t>
  </si>
  <si>
    <t>Product in asynchronous state, configured for Orion system, Operating Mode: UHF Only, Profile: SS Mode, Range Extender Mode: Heartbeat, and with secure band disconnected; shall transmit UHF location packet to repeater every 12 seconds.
NOTE: independent of valid IR and motion</t>
  </si>
  <si>
    <t>TR-RFRPT-28</t>
  </si>
  <si>
    <t>Product in asynchronous state, configured for Orion system, Operating Mode: UHF Only, Profile: SS Mode, Range Extender Mode: Location, and with secure band disconnected; shall transmit UHF location packet to repeater every 12 seconds.
NOTE: independent of valid IR and motion</t>
  </si>
  <si>
    <t>TR-RFRPT-29</t>
  </si>
  <si>
    <t>Product in asynchronous state, configured for Orion system, Operating Mode: UHF Only, Profile: SS Mode, and Range Extender Mode: None; shall not transmit UHF location packet to repeater.
NOTE: independent of valid IR and motion, and band connection</t>
  </si>
  <si>
    <t>TR-RFRPT-30</t>
  </si>
  <si>
    <t>Product in synchronous state, configured for Orion system, Operating Mode: UHF Only, Profile: Regular Mode, with secure band disconnected, and not in motion; shall not transmit UHF location packet to repeater.
NOTE: independent of Range Extender Mode and valid IR</t>
  </si>
  <si>
    <t>TR-RFRPT-31</t>
  </si>
  <si>
    <t>Product in synchronous state, configured for Orion system, Operating Mode: UHF Only, Profile: Regular Mode, Range Extender Mode: Heartbeat, and with secure band connected; shall not transmit UHF location packet to repeater.
NOTE: independent of motion and valid IR</t>
  </si>
  <si>
    <t>TR-RFRPT-32</t>
  </si>
  <si>
    <t>Product in synchronous state, configured for Orion system, Operating Mode: UHF Only, Profile: Regular Mode, Range Extender Mode: Location, and with secure band connected; shall transmit UHF location packet to repeater every 12 seconds.
NOTE: independent of motion and valid IR</t>
  </si>
  <si>
    <t>TR-RFRPT-33</t>
  </si>
  <si>
    <t>Product in synchronous state, configured for Orion system, Operating Mode: UHF Only, Profile: Regular Mode, Range Extender Mode: None, and with secure band connected; shall not transmit UHF location packet to repeater.
NOTE: independent of motion and valid IR</t>
  </si>
  <si>
    <t>TR-RFRPT-34</t>
  </si>
  <si>
    <t>Product in synchronous state, configured for Orion system, Operating Mode: UHF Only, Profile: SS Mode, and Range Extender Mode: Heartbeat; shall not transmit UHF location packet to repeater.
NOTE: independent of motion, valid IR, and band connection</t>
  </si>
  <si>
    <t>TR-RFRPT-35</t>
  </si>
  <si>
    <t>Product in synchronous state, configured for Orion system, Operating Mode: UHF Only, Profile: SS Mode, and Range Extender Mode: Location; shall transmit UHF location packet to repeater every 12 seconds.
NOTE: independent of motion, valid IR, and band connection</t>
  </si>
  <si>
    <t>TR-RFRPT-36</t>
  </si>
  <si>
    <t>Product in synchronous state, configured for Orion system, Operating Mode: UHF Only, Profile: SS Mode, and Range Extender Mode: None; shall not transmit UHF location packet to repeater.
NOTE: independent of motion, valid IR, and band connection</t>
  </si>
  <si>
    <t>TR-RFRPT-37</t>
  </si>
  <si>
    <t>Product in synchronous state, configured for Orion system, Operating Mode: UHF Only, Profile: Regular Mode, with secure band disconnected, in a valid IR field, and in motion; shall not transmit UHF location packet to repeater.
NOTE: independent of Range Extender Mode</t>
  </si>
  <si>
    <t>TR-RFRPT-38</t>
  </si>
  <si>
    <t>Product in synchronous state, configured for Orion system, Operating Mode: UHF Only, Profile: Regular Mode, with secure band disconnected, not in a valid IR field, and in motion; shall not transmit UHF location packet to repeater.
NOTE: independent of Range Extender Mode</t>
  </si>
  <si>
    <t>TR-RFRPT-39</t>
  </si>
  <si>
    <t>Product in asynchronous state, configured for Pegasus system, Operating Mode: UHF Only, and with secure band connected; shall transmit UHF location packet to repeater every 12 seconds.
NOTE: independent of Profile, valid IR, and motion</t>
  </si>
  <si>
    <t>TR-RFRPT-40</t>
  </si>
  <si>
    <t>Product in asynchronous state, configured for Pegasus system, Operating Mode: UHF Only, Profile: Regular Mode, with secure band disconnected, and not in motion; shall not transmit UHF location packet to repeater.
NOTE: independent of valid IR</t>
  </si>
  <si>
    <t>TR-RFRPT-41</t>
  </si>
  <si>
    <t>Product in asynchronous state, configured for Pegasus system, Operating Mode: UHF Only, Profile: Regular Mode, with secure band disconnected, and in motion; shall not transmit UHF location packet to repeater.
NOTE: independent of valid IR</t>
  </si>
  <si>
    <t>TR-RFRPT-42</t>
  </si>
  <si>
    <t>Product in asynchronous state, configured for Pegasus system, Operating Mode: UHF Only, Profile: SS Mode, and with secure band disconnected; shall transmit UHF location packet to repeater every 12 seconds.
NOTE: independent of valid IR and motion</t>
  </si>
  <si>
    <t>TR-RFRPT-43</t>
  </si>
  <si>
    <t>Product in synchronous state, configured for Pegasus system, Operating Mode: UHF Only, Profile: Regular Mode, and with secure band connected; shall not transmit UHF location packet to repeater.
NOTE: independent of motion and valid IR</t>
  </si>
  <si>
    <t>TR-RFRPT-44</t>
  </si>
  <si>
    <t>Product in synchronous state, configured for Pegasus system, Operating Mode: UHF Only, Profile: Regular Mode, with secure band disconnected, and not in motion; shall not transmit UHF location packet to repeater.
NOTE: independent of valid IR</t>
  </si>
  <si>
    <t>TR-RFRPT-45</t>
  </si>
  <si>
    <t>Product in synchronous state, configured for Pegasus system, Operating Mode: UHF Only, and Profile: SS Mode; shall not transmit UHF location packet to repeater.
NOTE: independent of motion, valid IR, and band connection</t>
  </si>
  <si>
    <t>TR-RFRPT-46</t>
  </si>
  <si>
    <t>Product in synchronous state, configured for Pegasus system, Operating Mode: UHF Only, Profile: Regular Mode, with secure band disconnected, in a valid IR field, and in motion; shall not transmit UHF location packet to repeater.</t>
  </si>
  <si>
    <t>TR-RFRPT-47</t>
  </si>
  <si>
    <t>Product in synchronous state, configured for Pegasus system, Operating Mode: UHF Only, Profile: Regular Mode, with secure band disconnected, not in a valid IR field, and in motion; shall not transmit UHF location packet to repeater.</t>
  </si>
  <si>
    <t>TR-IR-83</t>
  </si>
  <si>
    <t>Product shall open for IR every "T" seconds according to the formula:
T = IR Profile x (IR RX Profile + 1) seconds in Pegasus system.
where:
IR Profile = 1.5 or 3
IR RX Profile =  0 to 20 (inclusive and integer values)</t>
  </si>
  <si>
    <t>MATCH</t>
  </si>
  <si>
    <t>MOD</t>
  </si>
  <si>
    <t>DEL</t>
  </si>
  <si>
    <t>ADD</t>
  </si>
  <si>
    <t>TR ID Compare</t>
  </si>
  <si>
    <t>Compare Result</t>
  </si>
  <si>
    <t>Matched</t>
  </si>
  <si>
    <t>Added</t>
  </si>
  <si>
    <t>Deleted</t>
  </si>
  <si>
    <t>Modified</t>
  </si>
  <si>
    <t>Total</t>
  </si>
  <si>
    <t>Updated IR detection vs environment</t>
  </si>
  <si>
    <t>Updated reporting vs environment</t>
  </si>
  <si>
    <t>Delete BLE/Polestar protocol requirements as this is not supported yet. Will update when supported.</t>
  </si>
  <si>
    <t>minor text edit.</t>
  </si>
  <si>
    <t>requirement changed from IP67 to IP66</t>
  </si>
  <si>
    <t>changed from long-IR to marker-based IR for Orion asynchronous</t>
  </si>
  <si>
    <t>made requirement Orion-specific</t>
  </si>
  <si>
    <t>Safety 2.0 Bracelet version 1_2 TRD</t>
  </si>
  <si>
    <t>Comparison Details</t>
  </si>
  <si>
    <t>Text Compare</t>
  </si>
  <si>
    <t>Safety 2.0 Bracelet version 1_1 TRD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</si>
</sst>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409]mmmm\ d\,\ yyyy;@"/>
  </numFmts>
  <fonts count="28">
    <font>
      <sz val="11"/>
      <color theme="1"/>
      <name val="Calibri"/>
      <family val="2"/>
      <scheme val="minor"/>
    </font>
    <font>
      <b/>
      <sz val="14"/>
      <color theme="0"/>
      <name val="Arial"/>
      <family val="2"/>
    </font>
    <font>
      <b/>
      <sz val="10"/>
      <color theme="1"/>
      <name val="Arial"/>
      <family val="2"/>
    </font>
    <font>
      <sz val="10"/>
      <color theme="1"/>
      <name val="Arial"/>
      <family val="2"/>
    </font>
    <font>
      <b/>
      <sz val="12"/>
      <color theme="0"/>
      <name val="Arial"/>
      <family val="2"/>
    </font>
    <font>
      <b/>
      <sz val="10"/>
      <color theme="0"/>
      <name val="Arial"/>
      <family val="2"/>
    </font>
    <font>
      <sz val="9"/>
      <color indexed="81"/>
      <name val="Tahoma"/>
      <family val="2"/>
    </font>
    <font>
      <b/>
      <sz val="9"/>
      <color indexed="81"/>
      <name val="Tahoma"/>
      <family val="2"/>
    </font>
    <font>
      <b/>
      <sz val="11"/>
      <color theme="1"/>
      <name val="Calibri"/>
      <family val="2"/>
      <scheme val="minor"/>
    </font>
    <font>
      <sz val="11"/>
      <color theme="4" tint="-0.249977111117893"/>
      <name val="Calibri"/>
      <family val="2"/>
      <scheme val="minor"/>
    </font>
    <font>
      <b/>
      <sz val="16"/>
      <color theme="4" tint="-0.249977111117893"/>
      <name val="Calibri"/>
      <family val="2"/>
      <scheme val="minor"/>
    </font>
    <font>
      <b/>
      <sz val="20"/>
      <color theme="4" tint="-0.249977111117893"/>
      <name val="Calibri"/>
      <family val="2"/>
      <scheme val="minor"/>
    </font>
    <font>
      <b/>
      <sz val="12"/>
      <color theme="1"/>
      <name val="Calibri"/>
      <family val="2"/>
      <scheme val="minor"/>
    </font>
    <font>
      <u/>
      <sz val="11"/>
      <color theme="10"/>
      <name val="Calibri"/>
      <family val="2"/>
      <scheme val="minor"/>
    </font>
    <font>
      <sz val="14"/>
      <color rgb="FFFF0000"/>
      <name val="Calibri"/>
      <family val="2"/>
      <scheme val="minor"/>
    </font>
    <font>
      <sz val="10"/>
      <color rgb="FF000000"/>
      <name val="Arial"/>
      <family val="2"/>
    </font>
    <font>
      <b/>
      <sz val="10"/>
      <color rgb="FF000000"/>
      <name val="Arial"/>
      <family val="2"/>
    </font>
    <font>
      <sz val="10"/>
      <color rgb="FFFF0000"/>
      <name val="Arial"/>
      <family val="2"/>
    </font>
    <font>
      <sz val="8"/>
      <name val="Calibri"/>
      <family val="2"/>
      <scheme val="minor"/>
    </font>
    <font>
      <b/>
      <sz val="10"/>
      <color rgb="FFFF0000"/>
      <name val="Arial"/>
      <family val="2"/>
    </font>
    <font>
      <sz val="11"/>
      <color rgb="FF242424"/>
      <name val="Aptos Narrow"/>
      <family val="2"/>
    </font>
    <font>
      <sz val="10"/>
      <name val="Arial"/>
      <family val="2"/>
    </font>
    <font>
      <sz val="11"/>
      <color rgb="FF242424"/>
      <name val="Arial body"/>
    </font>
    <font>
      <sz val="11"/>
      <color theme="1"/>
      <name val="Arial body"/>
    </font>
    <font>
      <b/>
      <sz val="11"/>
      <color rgb="FFFF0000"/>
      <name val="Arial body"/>
    </font>
    <font>
      <sz val="11"/>
      <color rgb="FF9C0006"/>
      <name val="Calibri"/>
      <family val="2"/>
      <scheme val="minor"/>
    </font>
    <font>
      <sz val="11"/>
      <color theme="1"/>
      <name val="Aptos"/>
      <family val="2"/>
    </font>
    <font>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70C0"/>
        <bgColor indexed="64"/>
      </patternFill>
    </fill>
    <fill>
      <patternFill patternType="solid">
        <fgColor rgb="FFFFFFFF"/>
        <bgColor rgb="FF000000"/>
      </patternFill>
    </fill>
    <fill>
      <patternFill patternType="solid">
        <fgColor rgb="FFFFFF00"/>
        <bgColor rgb="FF000000"/>
      </patternFill>
    </fill>
    <fill>
      <patternFill patternType="solid">
        <fgColor rgb="FFFFC7CE"/>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4" tint="0.39997558519241921"/>
        <bgColor indexed="64"/>
      </patternFill>
    </fill>
    <fill>
      <patternFill patternType="solid">
        <fgColor theme="7" tint="0.39997558519241921"/>
        <bgColor indexed="64"/>
      </patternFill>
    </fill>
  </fills>
  <borders count="3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theme="8" tint="-0.249977111117893"/>
      </left>
      <right style="thin">
        <color theme="8" tint="-0.249977111117893"/>
      </right>
      <top style="thin">
        <color theme="8" tint="-0.249977111117893"/>
      </top>
      <bottom style="thin">
        <color theme="8" tint="-0.249977111117893"/>
      </bottom>
      <diagonal/>
    </border>
    <border>
      <left/>
      <right/>
      <top/>
      <bottom style="thin">
        <color theme="8" tint="-0.249977111117893"/>
      </bottom>
      <diagonal/>
    </border>
    <border>
      <left/>
      <right/>
      <top style="thin">
        <color theme="8" tint="-0.249977111117893"/>
      </top>
      <bottom/>
      <diagonal/>
    </border>
    <border>
      <left style="thin">
        <color theme="8" tint="-0.249977111117893"/>
      </left>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13" fillId="0" borderId="0" applyNumberFormat="0" applyFill="0" applyBorder="0" applyAlignment="0" applyProtection="0"/>
    <xf numFmtId="0" fontId="25" fillId="7" borderId="0" applyNumberFormat="0" applyBorder="0" applyAlignment="0" applyProtection="0"/>
  </cellStyleXfs>
  <cellXfs count="217">
    <xf numFmtId="0" fontId="0" fillId="0" borderId="0" xfId="0"/>
    <xf numFmtId="0" fontId="2" fillId="2" borderId="0" xfId="0" applyFont="1" applyFill="1" applyAlignment="1">
      <alignmen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top" wrapText="1"/>
    </xf>
    <xf numFmtId="0" fontId="3" fillId="2" borderId="2" xfId="0" applyFont="1" applyFill="1" applyBorder="1" applyAlignment="1">
      <alignment horizontal="left" vertical="center" wrapText="1"/>
    </xf>
    <xf numFmtId="0" fontId="2" fillId="2" borderId="0" xfId="0" applyFont="1" applyFill="1" applyAlignment="1">
      <alignment horizontal="center" vertical="center" wrapText="1"/>
    </xf>
    <xf numFmtId="164" fontId="3" fillId="2" borderId="0" xfId="0" applyNumberFormat="1" applyFont="1" applyFill="1" applyAlignment="1">
      <alignment horizontal="left" vertical="center" wrapText="1"/>
    </xf>
    <xf numFmtId="166" fontId="3" fillId="2" borderId="2" xfId="0" applyNumberFormat="1" applyFont="1" applyFill="1" applyBorder="1" applyAlignment="1">
      <alignment horizontal="left" vertical="center" wrapText="1"/>
    </xf>
    <xf numFmtId="0" fontId="3" fillId="2" borderId="0" xfId="0" applyFont="1" applyFill="1" applyAlignment="1">
      <alignment horizontal="center" vertical="center" wrapText="1"/>
    </xf>
    <xf numFmtId="0" fontId="5" fillId="4" borderId="2" xfId="0" applyFont="1" applyFill="1" applyBorder="1" applyAlignment="1">
      <alignment horizontal="center" vertical="top" wrapText="1"/>
    </xf>
    <xf numFmtId="0" fontId="4" fillId="4" borderId="2" xfId="0" applyFont="1" applyFill="1" applyBorder="1" applyAlignment="1">
      <alignment horizontal="left" vertical="center" wrapText="1"/>
    </xf>
    <xf numFmtId="164" fontId="3" fillId="2" borderId="0" xfId="0" applyNumberFormat="1" applyFont="1" applyFill="1" applyAlignment="1">
      <alignment horizontal="center" vertical="center" wrapText="1"/>
    </xf>
    <xf numFmtId="164" fontId="3" fillId="2" borderId="2" xfId="0" applyNumberFormat="1" applyFont="1" applyFill="1" applyBorder="1" applyAlignment="1">
      <alignment horizontal="center" vertical="top" wrapText="1"/>
    </xf>
    <xf numFmtId="164" fontId="3" fillId="2" borderId="2"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0" xfId="0" applyFont="1" applyFill="1" applyAlignment="1">
      <alignment horizontal="left" vertical="top"/>
    </xf>
    <xf numFmtId="0" fontId="3" fillId="3" borderId="2" xfId="0" applyFont="1" applyFill="1" applyBorder="1" applyAlignment="1">
      <alignment horizontal="center" vertical="top" wrapText="1"/>
    </xf>
    <xf numFmtId="164" fontId="13" fillId="2" borderId="2" xfId="1" applyNumberFormat="1" applyFill="1" applyBorder="1" applyAlignment="1">
      <alignment horizontal="left" vertical="top" wrapText="1"/>
    </xf>
    <xf numFmtId="0" fontId="2" fillId="2" borderId="2" xfId="0" applyFont="1" applyFill="1" applyBorder="1" applyAlignment="1">
      <alignment horizontal="left" vertical="top" wrapText="1"/>
    </xf>
    <xf numFmtId="0" fontId="3" fillId="0" borderId="2" xfId="0" applyFont="1" applyBorder="1" applyAlignment="1">
      <alignment horizontal="center" vertical="top" wrapText="1"/>
    </xf>
    <xf numFmtId="165" fontId="3" fillId="2" borderId="2" xfId="0" applyNumberFormat="1" applyFont="1" applyFill="1" applyBorder="1" applyAlignment="1">
      <alignment horizontal="left" vertical="center" wrapText="1"/>
    </xf>
    <xf numFmtId="0" fontId="0" fillId="2" borderId="0" xfId="0" applyFill="1"/>
    <xf numFmtId="0" fontId="0" fillId="2" borderId="1" xfId="0" applyFill="1" applyBorder="1"/>
    <xf numFmtId="0" fontId="10" fillId="2" borderId="6" xfId="0" applyFont="1" applyFill="1" applyBorder="1" applyAlignment="1">
      <alignment vertical="center"/>
    </xf>
    <xf numFmtId="0" fontId="11" fillId="2" borderId="6" xfId="0" applyFont="1" applyFill="1" applyBorder="1" applyAlignment="1">
      <alignment vertical="center"/>
    </xf>
    <xf numFmtId="0" fontId="0" fillId="2" borderId="6" xfId="0" applyFill="1" applyBorder="1"/>
    <xf numFmtId="0" fontId="0" fillId="2" borderId="7" xfId="0" applyFill="1" applyBorder="1"/>
    <xf numFmtId="0" fontId="12" fillId="2" borderId="0" xfId="0" applyFont="1" applyFill="1"/>
    <xf numFmtId="0" fontId="0" fillId="2" borderId="5" xfId="0" applyFill="1" applyBorder="1" applyAlignment="1">
      <alignment horizontal="center" wrapText="1"/>
    </xf>
    <xf numFmtId="0" fontId="0" fillId="2" borderId="5" xfId="0" applyFill="1" applyBorder="1" applyAlignment="1">
      <alignment horizontal="center"/>
    </xf>
    <xf numFmtId="0" fontId="0" fillId="2" borderId="5" xfId="0" quotePrefix="1" applyFill="1" applyBorder="1" applyAlignment="1">
      <alignment horizontal="center"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8" fillId="2" borderId="0" xfId="0" applyFont="1" applyFill="1" applyAlignment="1">
      <alignment horizontal="center" vertical="center"/>
    </xf>
    <xf numFmtId="0" fontId="0" fillId="2" borderId="0" xfId="0" applyFill="1" applyAlignment="1">
      <alignment vertical="center"/>
    </xf>
    <xf numFmtId="0" fontId="0" fillId="2" borderId="1" xfId="0" applyFill="1" applyBorder="1" applyAlignment="1">
      <alignment vertical="center"/>
    </xf>
    <xf numFmtId="0" fontId="0" fillId="2" borderId="0" xfId="0" applyFill="1" applyAlignment="1">
      <alignment horizontal="center" vertical="center"/>
    </xf>
    <xf numFmtId="0" fontId="14" fillId="2" borderId="0" xfId="0" applyFont="1" applyFill="1" applyAlignment="1">
      <alignment horizontal="left"/>
    </xf>
    <xf numFmtId="164" fontId="13" fillId="2" borderId="2" xfId="1" quotePrefix="1" applyNumberFormat="1" applyFill="1" applyBorder="1" applyAlignment="1">
      <alignment horizontal="left" vertical="top" wrapText="1"/>
    </xf>
    <xf numFmtId="0" fontId="15" fillId="5" borderId="2" xfId="0" applyFont="1" applyFill="1" applyBorder="1" applyAlignment="1">
      <alignment wrapText="1"/>
    </xf>
    <xf numFmtId="0" fontId="15" fillId="5" borderId="11" xfId="0" applyFont="1" applyFill="1" applyBorder="1" applyAlignment="1">
      <alignment wrapText="1"/>
    </xf>
    <xf numFmtId="164" fontId="3" fillId="0" borderId="2" xfId="0" applyNumberFormat="1" applyFont="1" applyBorder="1" applyAlignment="1">
      <alignment horizontal="left" vertical="top" wrapText="1"/>
    </xf>
    <xf numFmtId="0" fontId="15" fillId="5" borderId="12" xfId="0" applyFont="1" applyFill="1" applyBorder="1" applyAlignment="1">
      <alignment wrapText="1"/>
    </xf>
    <xf numFmtId="0" fontId="15" fillId="5" borderId="13" xfId="0" applyFont="1" applyFill="1" applyBorder="1" applyAlignment="1">
      <alignment wrapText="1"/>
    </xf>
    <xf numFmtId="0" fontId="15" fillId="5" borderId="11" xfId="0" applyFont="1" applyFill="1" applyBorder="1" applyAlignment="1">
      <alignment horizontal="center" vertical="center" wrapText="1"/>
    </xf>
    <xf numFmtId="0" fontId="15" fillId="5" borderId="12" xfId="0" applyFont="1" applyFill="1" applyBorder="1" applyAlignment="1">
      <alignment vertical="top" wrapText="1"/>
    </xf>
    <xf numFmtId="0" fontId="15" fillId="5" borderId="13" xfId="0" applyFont="1" applyFill="1" applyBorder="1" applyAlignment="1">
      <alignment vertical="top" wrapText="1"/>
    </xf>
    <xf numFmtId="0" fontId="15" fillId="0" borderId="2"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5" fillId="5" borderId="13" xfId="0" applyFont="1" applyFill="1" applyBorder="1" applyAlignment="1">
      <alignment horizontal="center" vertical="center" wrapText="1"/>
    </xf>
    <xf numFmtId="0" fontId="16" fillId="5" borderId="13" xfId="0" applyFont="1" applyFill="1" applyBorder="1" applyAlignment="1">
      <alignment vertical="top" wrapText="1"/>
    </xf>
    <xf numFmtId="0" fontId="15" fillId="6" borderId="13" xfId="0" applyFont="1" applyFill="1" applyBorder="1" applyAlignment="1">
      <alignment wrapText="1"/>
    </xf>
    <xf numFmtId="0" fontId="15" fillId="0" borderId="13" xfId="0" applyFont="1" applyBorder="1" applyAlignment="1">
      <alignment vertical="top" wrapText="1"/>
    </xf>
    <xf numFmtId="0" fontId="15" fillId="0" borderId="13" xfId="0" applyFont="1" applyBorder="1" applyAlignment="1">
      <alignment wrapText="1"/>
    </xf>
    <xf numFmtId="165" fontId="3" fillId="0" borderId="2" xfId="0" applyNumberFormat="1" applyFont="1" applyBorder="1" applyAlignment="1">
      <alignment horizontal="center" vertical="top" wrapText="1"/>
    </xf>
    <xf numFmtId="0" fontId="20" fillId="0" borderId="0" xfId="0" applyFont="1" applyAlignment="1">
      <alignment horizontal="left" vertical="top" wrapText="1"/>
    </xf>
    <xf numFmtId="164" fontId="3" fillId="2" borderId="2" xfId="0" applyNumberFormat="1" applyFont="1" applyFill="1" applyBorder="1" applyAlignment="1">
      <alignment horizontal="left" vertical="center" wrapText="1"/>
    </xf>
    <xf numFmtId="0" fontId="20" fillId="0" borderId="14" xfId="0" applyFont="1" applyBorder="1" applyAlignment="1">
      <alignment horizontal="left" vertical="top" wrapText="1"/>
    </xf>
    <xf numFmtId="164" fontId="3" fillId="0" borderId="15" xfId="0" applyNumberFormat="1" applyFont="1" applyBorder="1" applyAlignment="1">
      <alignment horizontal="left" vertical="top" wrapText="1"/>
    </xf>
    <xf numFmtId="165" fontId="3" fillId="0" borderId="12" xfId="0" applyNumberFormat="1" applyFont="1" applyBorder="1" applyAlignment="1">
      <alignment horizontal="center" vertical="top" wrapText="1"/>
    </xf>
    <xf numFmtId="164" fontId="3" fillId="2" borderId="11" xfId="0" applyNumberFormat="1" applyFont="1" applyFill="1" applyBorder="1" applyAlignment="1">
      <alignment horizontal="left" vertical="top" wrapText="1"/>
    </xf>
    <xf numFmtId="0" fontId="22" fillId="0" borderId="17" xfId="0" applyFont="1" applyBorder="1" applyAlignment="1">
      <alignment wrapText="1"/>
    </xf>
    <xf numFmtId="0" fontId="22" fillId="0" borderId="17" xfId="0" applyFont="1" applyBorder="1" applyAlignment="1">
      <alignment horizontal="left" vertical="top" wrapText="1"/>
    </xf>
    <xf numFmtId="0" fontId="22" fillId="0" borderId="0" xfId="0" applyFont="1" applyAlignment="1">
      <alignment wrapText="1"/>
    </xf>
    <xf numFmtId="164" fontId="23" fillId="2" borderId="16" xfId="0" applyNumberFormat="1" applyFont="1" applyFill="1" applyBorder="1" applyAlignment="1">
      <alignment horizontal="left" vertical="top" wrapText="1"/>
    </xf>
    <xf numFmtId="164" fontId="23" fillId="0" borderId="11" xfId="0" applyNumberFormat="1" applyFont="1" applyBorder="1" applyAlignment="1">
      <alignment horizontal="left" vertical="top" wrapText="1"/>
    </xf>
    <xf numFmtId="164" fontId="23" fillId="2" borderId="2" xfId="0" applyNumberFormat="1" applyFont="1" applyFill="1" applyBorder="1" applyAlignment="1">
      <alignment horizontal="left" vertical="top" wrapText="1"/>
    </xf>
    <xf numFmtId="164" fontId="24" fillId="2" borderId="2" xfId="0" applyNumberFormat="1" applyFont="1" applyFill="1" applyBorder="1" applyAlignment="1">
      <alignment horizontal="left" vertical="top" wrapText="1"/>
    </xf>
    <xf numFmtId="164" fontId="23" fillId="0" borderId="2" xfId="0" applyNumberFormat="1" applyFont="1" applyBorder="1" applyAlignment="1">
      <alignment horizontal="left" vertical="top" wrapText="1"/>
    </xf>
    <xf numFmtId="164" fontId="23" fillId="2" borderId="2" xfId="0" applyNumberFormat="1" applyFont="1" applyFill="1" applyBorder="1" applyAlignment="1">
      <alignment horizontal="left" vertical="center" wrapText="1"/>
    </xf>
    <xf numFmtId="0" fontId="5" fillId="4"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0" fontId="3" fillId="0" borderId="0" xfId="0" applyFont="1" applyAlignment="1">
      <alignment horizontal="left" vertical="center" wrapText="1"/>
    </xf>
    <xf numFmtId="0" fontId="3" fillId="0" borderId="2" xfId="0" applyFont="1" applyBorder="1" applyAlignment="1">
      <alignment horizontal="left" vertical="top" wrapText="1"/>
    </xf>
    <xf numFmtId="164" fontId="3" fillId="0" borderId="0" xfId="0" applyNumberFormat="1" applyFont="1" applyAlignment="1">
      <alignment horizontal="left" vertical="center" wrapText="1"/>
    </xf>
    <xf numFmtId="0" fontId="2" fillId="0" borderId="2" xfId="0" applyFont="1" applyBorder="1" applyAlignment="1">
      <alignment horizontal="left" vertical="top" wrapText="1"/>
    </xf>
    <xf numFmtId="0" fontId="2" fillId="0" borderId="21" xfId="0" applyFont="1" applyBorder="1" applyAlignment="1">
      <alignment horizontal="left" vertical="top" wrapText="1"/>
    </xf>
    <xf numFmtId="0" fontId="3" fillId="0" borderId="22" xfId="0" applyFont="1" applyBorder="1" applyAlignment="1">
      <alignment horizontal="left" vertical="top" wrapText="1"/>
    </xf>
    <xf numFmtId="0" fontId="2" fillId="0" borderId="23" xfId="0" applyFont="1" applyBorder="1" applyAlignment="1">
      <alignment horizontal="left" vertical="top" wrapText="1"/>
    </xf>
    <xf numFmtId="0" fontId="3" fillId="0" borderId="24" xfId="0" applyFont="1" applyBorder="1" applyAlignment="1">
      <alignment horizontal="left" vertical="top" wrapText="1"/>
    </xf>
    <xf numFmtId="0" fontId="2" fillId="0" borderId="24" xfId="0" applyFont="1" applyBorder="1" applyAlignment="1">
      <alignment horizontal="left" vertical="top" wrapText="1"/>
    </xf>
    <xf numFmtId="0" fontId="3" fillId="0" borderId="25" xfId="0" applyFont="1" applyBorder="1" applyAlignment="1">
      <alignment horizontal="left" vertical="top" wrapText="1"/>
    </xf>
    <xf numFmtId="49" fontId="2" fillId="2" borderId="0" xfId="0" applyNumberFormat="1" applyFont="1" applyFill="1" applyAlignment="1">
      <alignment vertical="center" wrapText="1"/>
    </xf>
    <xf numFmtId="49" fontId="2" fillId="2" borderId="0" xfId="0" applyNumberFormat="1" applyFont="1" applyFill="1" applyAlignment="1">
      <alignment horizontal="center" vertical="center" wrapText="1"/>
    </xf>
    <xf numFmtId="49" fontId="3" fillId="2" borderId="0" xfId="0" applyNumberFormat="1" applyFont="1" applyFill="1" applyAlignment="1">
      <alignment horizontal="left" vertical="center" wrapText="1"/>
    </xf>
    <xf numFmtId="49" fontId="5" fillId="4" borderId="2" xfId="0" applyNumberFormat="1" applyFont="1" applyFill="1" applyBorder="1" applyAlignment="1">
      <alignment horizontal="center" vertical="center" wrapText="1"/>
    </xf>
    <xf numFmtId="164" fontId="3" fillId="0" borderId="0" xfId="0" applyNumberFormat="1"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left" vertical="center" wrapText="1"/>
    </xf>
    <xf numFmtId="49" fontId="3" fillId="2" borderId="2" xfId="0" applyNumberFormat="1" applyFont="1" applyFill="1" applyBorder="1" applyAlignment="1">
      <alignment horizontal="center" vertical="top" wrapText="1"/>
    </xf>
    <xf numFmtId="164" fontId="3" fillId="0" borderId="2" xfId="0" applyNumberFormat="1" applyFont="1" applyBorder="1" applyAlignment="1">
      <alignment horizontal="center" vertical="top" wrapText="1"/>
    </xf>
    <xf numFmtId="0" fontId="3" fillId="0" borderId="2" xfId="0" applyFont="1" applyBorder="1" applyAlignment="1">
      <alignment horizontal="left" vertical="center" wrapText="1"/>
    </xf>
    <xf numFmtId="0" fontId="17" fillId="0" borderId="2" xfId="0" applyFont="1" applyBorder="1" applyAlignment="1">
      <alignment horizontal="left" vertical="top" wrapText="1"/>
    </xf>
    <xf numFmtId="0" fontId="15" fillId="0" borderId="2" xfId="0" applyFont="1" applyBorder="1" applyAlignment="1">
      <alignment horizontal="center" vertical="top" wrapText="1"/>
    </xf>
    <xf numFmtId="164" fontId="3" fillId="0" borderId="2" xfId="0" applyNumberFormat="1" applyFont="1" applyBorder="1" applyAlignment="1">
      <alignment horizontal="left" vertical="center" wrapText="1"/>
    </xf>
    <xf numFmtId="0" fontId="15" fillId="0" borderId="2" xfId="0" applyFont="1" applyBorder="1" applyAlignment="1">
      <alignment horizontal="left" vertical="top" wrapText="1"/>
    </xf>
    <xf numFmtId="164" fontId="15" fillId="2" borderId="2" xfId="0" applyNumberFormat="1" applyFont="1" applyFill="1" applyBorder="1" applyAlignment="1">
      <alignment horizontal="left" vertical="top" wrapText="1"/>
    </xf>
    <xf numFmtId="0" fontId="16" fillId="0" borderId="13" xfId="0" applyFont="1" applyBorder="1" applyAlignment="1">
      <alignment vertical="top" wrapText="1"/>
    </xf>
    <xf numFmtId="164" fontId="19" fillId="2" borderId="2" xfId="0" applyNumberFormat="1" applyFont="1" applyFill="1" applyBorder="1" applyAlignment="1">
      <alignment horizontal="left" vertical="top" wrapText="1"/>
    </xf>
    <xf numFmtId="0" fontId="9" fillId="2" borderId="5" xfId="0" applyFont="1" applyFill="1" applyBorder="1" applyAlignment="1">
      <alignment horizontal="right" vertical="center"/>
    </xf>
    <xf numFmtId="0" fontId="9" fillId="0" borderId="5" xfId="0" applyFont="1" applyBorder="1" applyAlignment="1">
      <alignment horizontal="center" vertical="center" wrapText="1"/>
    </xf>
    <xf numFmtId="0" fontId="9" fillId="2" borderId="5" xfId="0" applyFont="1" applyFill="1" applyBorder="1" applyAlignment="1">
      <alignment horizontal="center" vertical="center" wrapText="1"/>
    </xf>
    <xf numFmtId="0" fontId="9" fillId="2" borderId="5" xfId="0" quotePrefix="1" applyFont="1" applyFill="1" applyBorder="1" applyAlignment="1">
      <alignment horizontal="center" vertical="center" wrapText="1"/>
    </xf>
    <xf numFmtId="14" fontId="9" fillId="2" borderId="5" xfId="0" applyNumberFormat="1" applyFont="1" applyFill="1" applyBorder="1" applyAlignment="1">
      <alignment horizontal="center" vertical="center" wrapText="1"/>
    </xf>
    <xf numFmtId="0" fontId="0" fillId="2" borderId="5" xfId="0" applyFill="1" applyBorder="1" applyAlignment="1">
      <alignment horizontal="center"/>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8" fillId="2" borderId="8"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9" xfId="0" applyFont="1" applyFill="1" applyBorder="1" applyAlignment="1">
      <alignment horizontal="center" vertical="center"/>
    </xf>
    <xf numFmtId="0" fontId="0" fillId="2" borderId="8" xfId="0" applyFill="1" applyBorder="1" applyAlignment="1">
      <alignment horizontal="center" vertical="center"/>
    </xf>
    <xf numFmtId="0" fontId="0" fillId="2" borderId="10" xfId="0" applyFill="1" applyBorder="1" applyAlignment="1">
      <alignment horizontal="center" vertical="center"/>
    </xf>
    <xf numFmtId="0" fontId="0" fillId="2" borderId="9" xfId="0" applyFill="1" applyBorder="1" applyAlignment="1">
      <alignment horizontal="center" vertical="center"/>
    </xf>
    <xf numFmtId="0" fontId="1" fillId="4" borderId="1"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3"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26" xfId="0" applyFont="1" applyFill="1" applyBorder="1" applyAlignment="1">
      <alignment horizontal="center" vertical="center" wrapText="1"/>
    </xf>
    <xf numFmtId="0" fontId="1" fillId="4" borderId="27"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18"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20" xfId="0" applyFont="1" applyFill="1" applyBorder="1" applyAlignment="1">
      <alignment horizontal="center" vertical="center" wrapText="1"/>
    </xf>
    <xf numFmtId="2" fontId="8" fillId="0" borderId="0" xfId="0" applyNumberFormat="1" applyFont="1" applyAlignment="1">
      <alignment vertical="top" wrapText="1"/>
    </xf>
    <xf numFmtId="0" fontId="0" fillId="0" borderId="0" xfId="0" applyAlignment="1">
      <alignment vertical="center"/>
    </xf>
    <xf numFmtId="2" fontId="0" fillId="0" borderId="0" xfId="0" applyNumberFormat="1" applyAlignment="1">
      <alignment vertical="center"/>
    </xf>
    <xf numFmtId="0" fontId="0" fillId="8" borderId="0" xfId="0" applyFill="1" applyAlignment="1">
      <alignment vertical="center"/>
    </xf>
    <xf numFmtId="0" fontId="0" fillId="0" borderId="0" xfId="0" applyAlignment="1">
      <alignment vertical="top" wrapText="1"/>
    </xf>
    <xf numFmtId="2" fontId="0" fillId="0" borderId="0" xfId="0" applyNumberFormat="1" applyAlignment="1">
      <alignment vertical="top" wrapText="1"/>
    </xf>
    <xf numFmtId="0" fontId="0" fillId="0" borderId="0" xfId="0" applyAlignment="1">
      <alignment horizontal="center" vertical="top" wrapText="1"/>
    </xf>
    <xf numFmtId="49" fontId="0" fillId="0" borderId="0" xfId="0" applyNumberFormat="1" applyAlignment="1">
      <alignment vertical="top" wrapText="1"/>
    </xf>
    <xf numFmtId="0" fontId="21" fillId="0" borderId="2" xfId="0" applyFont="1" applyBorder="1" applyAlignment="1">
      <alignment horizontal="left" vertical="top" wrapText="1"/>
    </xf>
    <xf numFmtId="0" fontId="3" fillId="9" borderId="18" xfId="0" applyFont="1" applyFill="1" applyBorder="1" applyAlignment="1">
      <alignment horizontal="left" vertical="center" wrapText="1"/>
    </xf>
    <xf numFmtId="0" fontId="3" fillId="9" borderId="20" xfId="0" applyFont="1" applyFill="1" applyBorder="1" applyAlignment="1">
      <alignment horizontal="left" vertical="center" wrapText="1"/>
    </xf>
    <xf numFmtId="0" fontId="3" fillId="9" borderId="21" xfId="0" applyFont="1" applyFill="1" applyBorder="1" applyAlignment="1">
      <alignment horizontal="left" vertical="center" wrapText="1"/>
    </xf>
    <xf numFmtId="0" fontId="3" fillId="9" borderId="22" xfId="0" applyFont="1" applyFill="1" applyBorder="1" applyAlignment="1">
      <alignment horizontal="left" vertical="center" wrapText="1"/>
    </xf>
    <xf numFmtId="0" fontId="3" fillId="9" borderId="29" xfId="0" applyFont="1" applyFill="1" applyBorder="1" applyAlignment="1">
      <alignment horizontal="left" vertical="center" wrapText="1"/>
    </xf>
    <xf numFmtId="0" fontId="3" fillId="9" borderId="30" xfId="0" applyFont="1" applyFill="1" applyBorder="1" applyAlignment="1">
      <alignment horizontal="left" vertical="center" wrapText="1"/>
    </xf>
    <xf numFmtId="0" fontId="3" fillId="11" borderId="2" xfId="0" applyFont="1" applyFill="1" applyBorder="1" applyAlignment="1">
      <alignment horizontal="center" vertical="center" wrapText="1"/>
    </xf>
    <xf numFmtId="49" fontId="3" fillId="11" borderId="2" xfId="0" applyNumberFormat="1" applyFont="1" applyFill="1" applyBorder="1" applyAlignment="1">
      <alignment horizontal="left" vertical="center" wrapText="1"/>
    </xf>
    <xf numFmtId="49" fontId="21" fillId="11" borderId="2" xfId="0" applyNumberFormat="1" applyFont="1" applyFill="1" applyBorder="1" applyAlignment="1">
      <alignment horizontal="left" vertical="center" wrapText="1"/>
    </xf>
    <xf numFmtId="164" fontId="3" fillId="11" borderId="2" xfId="0" applyNumberFormat="1" applyFont="1" applyFill="1" applyBorder="1" applyAlignment="1">
      <alignment horizontal="center" vertical="center" wrapText="1"/>
    </xf>
    <xf numFmtId="49" fontId="15" fillId="11" borderId="2" xfId="0" applyNumberFormat="1" applyFont="1" applyFill="1" applyBorder="1" applyAlignment="1">
      <alignment horizontal="left" vertical="center" wrapText="1"/>
    </xf>
    <xf numFmtId="49" fontId="3" fillId="11" borderId="2" xfId="0" quotePrefix="1" applyNumberFormat="1" applyFont="1" applyFill="1" applyBorder="1" applyAlignment="1">
      <alignment horizontal="left" vertical="center" wrapText="1"/>
    </xf>
    <xf numFmtId="49" fontId="27" fillId="11" borderId="2" xfId="0" applyNumberFormat="1" applyFont="1" applyFill="1" applyBorder="1" applyAlignment="1">
      <alignment vertical="center" wrapText="1"/>
    </xf>
    <xf numFmtId="49" fontId="27" fillId="11" borderId="2" xfId="2" applyNumberFormat="1" applyFont="1" applyFill="1" applyBorder="1" applyAlignment="1">
      <alignment horizontal="left" vertical="center" wrapText="1"/>
    </xf>
    <xf numFmtId="49" fontId="26" fillId="11" borderId="2" xfId="0" applyNumberFormat="1" applyFont="1" applyFill="1" applyBorder="1" applyAlignment="1">
      <alignment vertical="center" wrapText="1"/>
    </xf>
    <xf numFmtId="0" fontId="15" fillId="11" borderId="2" xfId="0" applyFont="1" applyFill="1" applyBorder="1" applyAlignment="1">
      <alignment horizontal="center" vertical="center" wrapText="1"/>
    </xf>
    <xf numFmtId="49" fontId="15" fillId="11" borderId="2" xfId="0" applyNumberFormat="1" applyFont="1" applyFill="1" applyBorder="1" applyAlignment="1">
      <alignment vertical="center" wrapText="1"/>
    </xf>
    <xf numFmtId="0" fontId="21" fillId="11" borderId="2" xfId="0" applyFont="1" applyFill="1" applyBorder="1" applyAlignment="1">
      <alignment horizontal="center" vertical="center" wrapText="1"/>
    </xf>
    <xf numFmtId="49" fontId="27" fillId="11" borderId="2" xfId="0" applyNumberFormat="1" applyFont="1" applyFill="1" applyBorder="1" applyAlignment="1">
      <alignment horizontal="left" vertical="center" wrapText="1"/>
    </xf>
    <xf numFmtId="164" fontId="3" fillId="11" borderId="2" xfId="0" applyNumberFormat="1" applyFont="1" applyFill="1" applyBorder="1" applyAlignment="1">
      <alignment horizontal="left" vertical="center" wrapText="1"/>
    </xf>
    <xf numFmtId="0" fontId="0" fillId="11" borderId="2" xfId="0" applyFill="1" applyBorder="1" applyAlignment="1">
      <alignment vertical="center"/>
    </xf>
    <xf numFmtId="0" fontId="3" fillId="12" borderId="2" xfId="0" applyFont="1" applyFill="1" applyBorder="1" applyAlignment="1">
      <alignment horizontal="center" vertical="center" wrapText="1"/>
    </xf>
    <xf numFmtId="164" fontId="3" fillId="12" borderId="2" xfId="0" applyNumberFormat="1" applyFont="1" applyFill="1" applyBorder="1" applyAlignment="1">
      <alignment horizontal="center" vertical="center" wrapText="1"/>
    </xf>
    <xf numFmtId="164" fontId="27" fillId="12" borderId="2" xfId="2" applyNumberFormat="1" applyFont="1" applyFill="1" applyBorder="1" applyAlignment="1">
      <alignment horizontal="center" vertical="center" wrapText="1"/>
    </xf>
    <xf numFmtId="0" fontId="15" fillId="12" borderId="2" xfId="0" applyFont="1" applyFill="1" applyBorder="1" applyAlignment="1">
      <alignment horizontal="center" vertical="top" wrapText="1"/>
    </xf>
    <xf numFmtId="0" fontId="3" fillId="12" borderId="2" xfId="0" applyFont="1" applyFill="1" applyBorder="1" applyAlignment="1">
      <alignment horizontal="center" vertical="top" wrapText="1"/>
    </xf>
    <xf numFmtId="164" fontId="3" fillId="12" borderId="2" xfId="0" applyNumberFormat="1" applyFont="1" applyFill="1" applyBorder="1" applyAlignment="1">
      <alignment horizontal="center" vertical="top" wrapText="1"/>
    </xf>
    <xf numFmtId="0" fontId="15" fillId="13" borderId="2" xfId="0" applyFont="1" applyFill="1" applyBorder="1" applyAlignment="1">
      <alignment horizontal="center" vertical="top" wrapText="1"/>
    </xf>
    <xf numFmtId="0" fontId="15" fillId="12" borderId="2" xfId="0" applyFont="1" applyFill="1" applyBorder="1" applyAlignment="1">
      <alignment horizontal="center" vertical="center" wrapText="1"/>
    </xf>
    <xf numFmtId="0" fontId="0" fillId="12" borderId="2" xfId="0" applyFill="1" applyBorder="1" applyAlignment="1">
      <alignment horizontal="center" vertical="top" wrapText="1"/>
    </xf>
    <xf numFmtId="0" fontId="0" fillId="12" borderId="2" xfId="0" applyFill="1" applyBorder="1" applyAlignment="1">
      <alignment vertical="top" wrapText="1"/>
    </xf>
    <xf numFmtId="0" fontId="15" fillId="13" borderId="2" xfId="0" applyFont="1" applyFill="1" applyBorder="1" applyAlignment="1">
      <alignment horizontal="center" vertical="center" wrapText="1"/>
    </xf>
    <xf numFmtId="0" fontId="21" fillId="12" borderId="2" xfId="0" applyFont="1" applyFill="1" applyBorder="1" applyAlignment="1">
      <alignment horizontal="center" vertical="center" wrapText="1"/>
    </xf>
    <xf numFmtId="0" fontId="0" fillId="12" borderId="2" xfId="0" applyFill="1" applyBorder="1" applyAlignment="1">
      <alignment vertical="center"/>
    </xf>
    <xf numFmtId="0" fontId="20" fillId="12" borderId="2" xfId="0" applyFont="1" applyFill="1" applyBorder="1" applyAlignment="1">
      <alignment horizontal="center" vertical="center"/>
    </xf>
    <xf numFmtId="0" fontId="4" fillId="4" borderId="16" xfId="0" applyFont="1" applyFill="1" applyBorder="1" applyAlignment="1">
      <alignment horizontal="left" vertical="center" wrapText="1"/>
    </xf>
    <xf numFmtId="166" fontId="3" fillId="2" borderId="16" xfId="0" applyNumberFormat="1" applyFont="1" applyFill="1" applyBorder="1" applyAlignment="1">
      <alignment horizontal="center" vertical="center" wrapText="1"/>
    </xf>
    <xf numFmtId="0" fontId="2" fillId="0" borderId="31" xfId="0" applyFont="1" applyBorder="1" applyAlignment="1">
      <alignment horizontal="left" vertical="top" wrapText="1"/>
    </xf>
    <xf numFmtId="0" fontId="3" fillId="0" borderId="31" xfId="0" applyFont="1" applyBorder="1" applyAlignment="1">
      <alignment horizontal="left" vertical="top" wrapText="1"/>
    </xf>
    <xf numFmtId="0" fontId="2" fillId="10" borderId="32" xfId="0" applyFont="1" applyFill="1" applyBorder="1" applyAlignment="1">
      <alignment horizontal="left" vertical="center" wrapText="1"/>
    </xf>
    <xf numFmtId="0" fontId="2" fillId="10" borderId="33" xfId="0" applyFont="1" applyFill="1" applyBorder="1" applyAlignment="1">
      <alignment horizontal="left" vertical="center" wrapText="1"/>
    </xf>
    <xf numFmtId="0" fontId="0" fillId="0" borderId="2" xfId="0" applyBorder="1" applyAlignment="1">
      <alignment vertical="top"/>
    </xf>
    <xf numFmtId="0" fontId="21" fillId="0" borderId="2" xfId="0" applyFont="1" applyBorder="1" applyAlignment="1">
      <alignment horizontal="left" vertical="center" wrapText="1"/>
    </xf>
    <xf numFmtId="0" fontId="2" fillId="14" borderId="18" xfId="0" applyFont="1" applyFill="1" applyBorder="1" applyAlignment="1">
      <alignment horizontal="center" vertical="center" wrapText="1"/>
    </xf>
    <xf numFmtId="0" fontId="2" fillId="14" borderId="19" xfId="0" applyFont="1" applyFill="1" applyBorder="1" applyAlignment="1">
      <alignment horizontal="center" vertical="center" wrapText="1"/>
    </xf>
    <xf numFmtId="0" fontId="3" fillId="2" borderId="19" xfId="0" applyFont="1" applyFill="1" applyBorder="1" applyAlignment="1">
      <alignment horizontal="left" vertical="center" wrapText="1"/>
    </xf>
    <xf numFmtId="0" fontId="2" fillId="15" borderId="19" xfId="0" applyFont="1" applyFill="1" applyBorder="1" applyAlignment="1">
      <alignment horizontal="center" vertical="center" wrapText="1"/>
    </xf>
    <xf numFmtId="0" fontId="2" fillId="15" borderId="20" xfId="0" applyFont="1" applyFill="1" applyBorder="1" applyAlignment="1">
      <alignment horizontal="center" vertical="center" wrapText="1"/>
    </xf>
    <xf numFmtId="0" fontId="5" fillId="4" borderId="21" xfId="0" applyFont="1" applyFill="1" applyBorder="1" applyAlignment="1">
      <alignment horizontal="center" vertical="center" wrapText="1"/>
    </xf>
    <xf numFmtId="49" fontId="5" fillId="4" borderId="22" xfId="0" applyNumberFormat="1" applyFont="1" applyFill="1" applyBorder="1" applyAlignment="1">
      <alignment horizontal="center" vertical="center" wrapText="1"/>
    </xf>
    <xf numFmtId="164" fontId="3" fillId="11" borderId="21" xfId="0" applyNumberFormat="1" applyFont="1" applyFill="1" applyBorder="1" applyAlignment="1">
      <alignment horizontal="center" vertical="center" wrapText="1"/>
    </xf>
    <xf numFmtId="49" fontId="3" fillId="12" borderId="22" xfId="0" applyNumberFormat="1" applyFont="1" applyFill="1" applyBorder="1" applyAlignment="1">
      <alignment horizontal="left" vertical="center" wrapText="1"/>
    </xf>
    <xf numFmtId="49" fontId="21" fillId="12" borderId="22" xfId="0" applyNumberFormat="1" applyFont="1" applyFill="1" applyBorder="1" applyAlignment="1">
      <alignment horizontal="left" vertical="center" wrapText="1"/>
    </xf>
    <xf numFmtId="49" fontId="15" fillId="12" borderId="22" xfId="0" applyNumberFormat="1" applyFont="1" applyFill="1" applyBorder="1" applyAlignment="1">
      <alignment horizontal="left" vertical="center" wrapText="1"/>
    </xf>
    <xf numFmtId="49" fontId="3" fillId="12" borderId="22" xfId="0" quotePrefix="1" applyNumberFormat="1" applyFont="1" applyFill="1" applyBorder="1" applyAlignment="1">
      <alignment horizontal="left" vertical="center" wrapText="1"/>
    </xf>
    <xf numFmtId="164" fontId="27" fillId="11" borderId="21" xfId="2" applyNumberFormat="1" applyFont="1" applyFill="1" applyBorder="1" applyAlignment="1">
      <alignment horizontal="center" vertical="center" wrapText="1"/>
    </xf>
    <xf numFmtId="49" fontId="27" fillId="12" borderId="22" xfId="2" applyNumberFormat="1" applyFont="1" applyFill="1" applyBorder="1" applyAlignment="1">
      <alignment horizontal="left" vertical="center" wrapText="1"/>
    </xf>
    <xf numFmtId="49" fontId="26" fillId="12" borderId="22" xfId="0" applyNumberFormat="1" applyFont="1" applyFill="1" applyBorder="1" applyAlignment="1">
      <alignment vertical="center" wrapText="1"/>
    </xf>
    <xf numFmtId="0" fontId="15" fillId="11" borderId="21" xfId="0" applyFont="1" applyFill="1" applyBorder="1" applyAlignment="1">
      <alignment horizontal="center" vertical="center" wrapText="1"/>
    </xf>
    <xf numFmtId="49" fontId="3" fillId="12" borderId="22" xfId="0" applyNumberFormat="1" applyFont="1" applyFill="1" applyBorder="1" applyAlignment="1">
      <alignment horizontal="left" vertical="top" wrapText="1"/>
    </xf>
    <xf numFmtId="0" fontId="3" fillId="11" borderId="21" xfId="0" applyFont="1" applyFill="1" applyBorder="1" applyAlignment="1">
      <alignment horizontal="center" vertical="center" wrapText="1"/>
    </xf>
    <xf numFmtId="49" fontId="0" fillId="12" borderId="22" xfId="0" applyNumberFormat="1" applyFill="1" applyBorder="1" applyAlignment="1">
      <alignment vertical="top" wrapText="1"/>
    </xf>
    <xf numFmtId="0" fontId="0" fillId="12" borderId="22" xfId="0" applyFill="1" applyBorder="1" applyAlignment="1">
      <alignment vertical="top" wrapText="1"/>
    </xf>
    <xf numFmtId="49" fontId="15" fillId="12" borderId="22" xfId="0" applyNumberFormat="1" applyFont="1" applyFill="1" applyBorder="1" applyAlignment="1">
      <alignment vertical="center" wrapText="1"/>
    </xf>
    <xf numFmtId="0" fontId="21" fillId="11" borderId="21" xfId="0" applyFont="1" applyFill="1" applyBorder="1" applyAlignment="1">
      <alignment horizontal="center" vertical="center" wrapText="1"/>
    </xf>
    <xf numFmtId="49" fontId="15" fillId="13" borderId="22" xfId="0" applyNumberFormat="1" applyFont="1" applyFill="1" applyBorder="1" applyAlignment="1">
      <alignment vertical="center" wrapText="1"/>
    </xf>
    <xf numFmtId="0" fontId="20" fillId="11" borderId="21" xfId="0" applyFont="1" applyFill="1" applyBorder="1" applyAlignment="1">
      <alignment horizontal="center" vertical="center"/>
    </xf>
    <xf numFmtId="164" fontId="3" fillId="12" borderId="22" xfId="0" applyNumberFormat="1" applyFont="1" applyFill="1" applyBorder="1" applyAlignment="1">
      <alignment horizontal="left" vertical="center" wrapText="1"/>
    </xf>
    <xf numFmtId="164" fontId="3" fillId="11" borderId="23" xfId="0" applyNumberFormat="1" applyFont="1" applyFill="1" applyBorder="1" applyAlignment="1">
      <alignment horizontal="center" vertical="center" wrapText="1"/>
    </xf>
    <xf numFmtId="164" fontId="3" fillId="11" borderId="24" xfId="0" applyNumberFormat="1" applyFont="1" applyFill="1" applyBorder="1" applyAlignment="1">
      <alignment horizontal="center" vertical="center" wrapText="1"/>
    </xf>
    <xf numFmtId="0" fontId="3" fillId="11" borderId="24" xfId="0" applyFont="1" applyFill="1" applyBorder="1" applyAlignment="1">
      <alignment horizontal="center" vertical="center" wrapText="1"/>
    </xf>
    <xf numFmtId="49" fontId="3" fillId="11" borderId="24" xfId="0" applyNumberFormat="1" applyFont="1" applyFill="1" applyBorder="1" applyAlignment="1">
      <alignment horizontal="left" vertical="center" wrapText="1"/>
    </xf>
    <xf numFmtId="164" fontId="3" fillId="0" borderId="24" xfId="0" applyNumberFormat="1" applyFont="1" applyBorder="1" applyAlignment="1">
      <alignment horizontal="left" vertical="top" wrapText="1"/>
    </xf>
    <xf numFmtId="164" fontId="3" fillId="0" borderId="24" xfId="0" applyNumberFormat="1" applyFont="1" applyBorder="1" applyAlignment="1">
      <alignment horizontal="center" vertical="top" wrapText="1"/>
    </xf>
    <xf numFmtId="0" fontId="3" fillId="0" borderId="24" xfId="0" applyFont="1" applyBorder="1" applyAlignment="1">
      <alignment horizontal="left" vertical="center" wrapText="1"/>
    </xf>
    <xf numFmtId="164" fontId="3" fillId="12" borderId="24" xfId="0" applyNumberFormat="1" applyFont="1" applyFill="1" applyBorder="1" applyAlignment="1">
      <alignment horizontal="center" vertical="center" wrapText="1"/>
    </xf>
    <xf numFmtId="0" fontId="3" fillId="12" borderId="24" xfId="0" applyFont="1" applyFill="1" applyBorder="1" applyAlignment="1">
      <alignment horizontal="center" vertical="center" wrapText="1"/>
    </xf>
    <xf numFmtId="49" fontId="3" fillId="12" borderId="25" xfId="0" applyNumberFormat="1" applyFont="1" applyFill="1" applyBorder="1" applyAlignment="1">
      <alignment horizontal="left" vertical="center" wrapText="1"/>
    </xf>
    <xf numFmtId="0" fontId="5" fillId="4" borderId="19" xfId="0" applyFont="1" applyFill="1" applyBorder="1" applyAlignment="1">
      <alignment horizontal="center" vertical="center" wrapText="1"/>
    </xf>
  </cellXfs>
  <cellStyles count="3">
    <cellStyle name="Bad" xfId="2" builtinId="27"/>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98001</xdr:colOff>
      <xdr:row>1</xdr:row>
      <xdr:rowOff>129540</xdr:rowOff>
    </xdr:from>
    <xdr:to>
      <xdr:col>3</xdr:col>
      <xdr:colOff>555009</xdr:colOff>
      <xdr:row>2</xdr:row>
      <xdr:rowOff>131218</xdr:rowOff>
    </xdr:to>
    <xdr:pic>
      <xdr:nvPicPr>
        <xdr:cNvPr id="2" name="Picture 1">
          <a:extLst>
            <a:ext uri="{FF2B5EF4-FFF2-40B4-BE49-F238E27FC236}">
              <a16:creationId xmlns:a16="http://schemas.microsoft.com/office/drawing/2014/main" id="{6C79B3F7-DE77-4B2A-89F4-9E1727C5454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116" y="314325"/>
          <a:ext cx="2080068" cy="359818"/>
        </a:xfrm>
        <a:prstGeom prst="rect">
          <a:avLst/>
        </a:prstGeom>
      </xdr:spPr>
    </xdr:pic>
    <xdr:clientData/>
  </xdr:twoCellAnchor>
  <xdr:twoCellAnchor>
    <xdr:from>
      <xdr:col>11</xdr:col>
      <xdr:colOff>262890</xdr:colOff>
      <xdr:row>6</xdr:row>
      <xdr:rowOff>160020</xdr:rowOff>
    </xdr:from>
    <xdr:to>
      <xdr:col>27</xdr:col>
      <xdr:colOff>453967</xdr:colOff>
      <xdr:row>24</xdr:row>
      <xdr:rowOff>86182</xdr:rowOff>
    </xdr:to>
    <xdr:sp macro="" textlink="">
      <xdr:nvSpPr>
        <xdr:cNvPr id="3" name="TextBox 4">
          <a:extLst>
            <a:ext uri="{FF2B5EF4-FFF2-40B4-BE49-F238E27FC236}">
              <a16:creationId xmlns:a16="http://schemas.microsoft.com/office/drawing/2014/main" id="{2825E20E-0BE1-4585-9084-DBE68C7A70E6}"/>
            </a:ext>
          </a:extLst>
        </xdr:cNvPr>
        <xdr:cNvSpPr txBox="1"/>
      </xdr:nvSpPr>
      <xdr:spPr>
        <a:xfrm>
          <a:off x="7158990" y="1428750"/>
          <a:ext cx="9944677" cy="3926662"/>
        </a:xfrm>
        <a:prstGeom prst="rect">
          <a:avLst/>
        </a:prstGeom>
        <a:noFill/>
      </xdr:spPr>
      <xdr:txBody>
        <a:bodyPr wrap="square">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a:lnSpc>
              <a:spcPct val="107000"/>
            </a:lnSpc>
            <a:spcBef>
              <a:spcPts val="0"/>
            </a:spcBef>
            <a:spcAft>
              <a:spcPts val="0"/>
            </a:spcAft>
          </a:pPr>
          <a:r>
            <a:rPr lang="en-US" sz="1400">
              <a:solidFill>
                <a:srgbClr val="000000"/>
              </a:solidFill>
              <a:effectLst/>
              <a:latin typeface="Calibri" panose="020F0502020204030204" pitchFamily="34" charset="0"/>
              <a:ea typeface="Calibri" panose="020F0502020204030204" pitchFamily="34" charset="0"/>
              <a:cs typeface="Arial" panose="020B0604020202020204" pitchFamily="34" charset="0"/>
            </a:rPr>
            <a:t>Note: </a:t>
          </a:r>
          <a:endParaRPr lang="en-US" sz="1800">
            <a:effectLst/>
            <a:latin typeface="Calibri" panose="020F0502020204030204" pitchFamily="34" charset="0"/>
            <a:ea typeface="Calibri" panose="020F0502020204030204" pitchFamily="34" charset="0"/>
            <a:cs typeface="Times New Roman" panose="02020603050405020304" pitchFamily="18" charset="0"/>
          </a:endParaRPr>
        </a:p>
        <a:p>
          <a:pPr marL="0" marR="0" algn="just">
            <a:lnSpc>
              <a:spcPct val="107000"/>
            </a:lnSpc>
            <a:spcBef>
              <a:spcPts val="0"/>
            </a:spcBef>
            <a:spcAft>
              <a:spcPts val="0"/>
            </a:spcAft>
          </a:pPr>
          <a:r>
            <a:rPr lang="en-US" sz="1400">
              <a:solidFill>
                <a:srgbClr val="000000"/>
              </a:solidFill>
              <a:effectLst/>
              <a:latin typeface="Calibri" panose="020F0502020204030204" pitchFamily="34" charset="0"/>
              <a:ea typeface="Calibri" panose="020F0502020204030204" pitchFamily="34" charset="0"/>
              <a:cs typeface="Arial" panose="020B0604020202020204" pitchFamily="34" charset="0"/>
            </a:rPr>
            <a:t>Only the fully-approved version of this document will be available for all employees’ access on the eQMS.  All reviews and approvals are completed through the automated workflow of the eQMS. Thus, no physical signature will be shown in the above table of Approvals. If this document is to be distributed outside of CenTrak, the official approval of this document will be denoted by a watermark with the signature of Documents Control admins.  </a:t>
          </a:r>
          <a:endParaRPr lang="en-US" sz="1800">
            <a:effectLst/>
            <a:latin typeface="Calibri" panose="020F0502020204030204" pitchFamily="34" charset="0"/>
            <a:ea typeface="Calibri" panose="020F0502020204030204" pitchFamily="34" charset="0"/>
            <a:cs typeface="Times New Roman" panose="02020603050405020304" pitchFamily="18" charset="0"/>
          </a:endParaRPr>
        </a:p>
        <a:p>
          <a:pPr marL="0" marR="0" algn="just">
            <a:lnSpc>
              <a:spcPct val="107000"/>
            </a:lnSpc>
            <a:spcBef>
              <a:spcPts val="0"/>
            </a:spcBef>
            <a:spcAft>
              <a:spcPts val="0"/>
            </a:spcAft>
          </a:pPr>
          <a:r>
            <a:rPr lang="en-US" sz="2000" i="1">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US" sz="1800">
            <a:effectLst/>
            <a:latin typeface="Calibri" panose="020F0502020204030204" pitchFamily="34" charset="0"/>
            <a:ea typeface="Calibri" panose="020F0502020204030204" pitchFamily="34" charset="0"/>
            <a:cs typeface="Times New Roman" panose="02020603050405020304" pitchFamily="18" charset="0"/>
          </a:endParaRPr>
        </a:p>
        <a:p>
          <a:pPr marL="0" marR="0" algn="just">
            <a:lnSpc>
              <a:spcPct val="107000"/>
            </a:lnSpc>
            <a:spcBef>
              <a:spcPts val="0"/>
            </a:spcBef>
            <a:spcAft>
              <a:spcPts val="0"/>
            </a:spcAft>
          </a:pPr>
          <a:r>
            <a:rPr lang="en-US" sz="1400">
              <a:solidFill>
                <a:srgbClr val="000000"/>
              </a:solidFill>
              <a:effectLst/>
              <a:latin typeface="Calibri" panose="020F0502020204030204" pitchFamily="34" charset="0"/>
              <a:ea typeface="Calibri" panose="020F0502020204030204" pitchFamily="34" charset="0"/>
              <a:cs typeface="Arial" panose="020B0604020202020204" pitchFamily="34" charset="0"/>
            </a:rPr>
            <a:t>COPYRIGHT © CenTrak, Inc., 2021. All rights reserved. CenTrak is a registered trademark. These materials may contain confidential, proprietary, and/or private information. No part of these materials or information shall be disclosed to any third party or shall be reproduced or transmitted in any form or by any means, electronic or otherwise, including photocopying, recording, or by any information or retrieval system without written permission from CenTrak, Inc.  If you are not the intended recipient, you shall immediately return these materials and information to the sender, or, if such sender is unknown, destroy them. These materials and the information contained herein are subject to change without notice, and CenTrak makes no commitment to update or keep current such materials or information. These materials and the information contained herein are provided as-is, and CenTrak does not make any representation or warranty, express or implied, with respect thereto, including, without limitation, any representation or warranty regarding the completeness or accuracy thereof, merchantability, or fitness for any particular purpose. By acceptance of these materials, you agree to the terms above.</a:t>
          </a:r>
          <a:endParaRPr lang="en-US" sz="18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0</xdr:row>
      <xdr:rowOff>85725</xdr:rowOff>
    </xdr:from>
    <xdr:to>
      <xdr:col>3</xdr:col>
      <xdr:colOff>495300</xdr:colOff>
      <xdr:row>11</xdr:row>
      <xdr:rowOff>19050</xdr:rowOff>
    </xdr:to>
    <xdr:pic>
      <xdr:nvPicPr>
        <xdr:cNvPr id="3" name="Picture 2">
          <a:extLst>
            <a:ext uri="{FF2B5EF4-FFF2-40B4-BE49-F238E27FC236}">
              <a16:creationId xmlns:a16="http://schemas.microsoft.com/office/drawing/2014/main" id="{CF6E48F2-0209-1DDD-5285-3D5048B2B930}"/>
            </a:ext>
          </a:extLst>
        </xdr:cNvPr>
        <xdr:cNvPicPr>
          <a:picLocks noChangeAspect="1"/>
        </xdr:cNvPicPr>
      </xdr:nvPicPr>
      <xdr:blipFill>
        <a:blip xmlns:r="http://schemas.openxmlformats.org/officeDocument/2006/relationships" r:embed="rId1"/>
        <a:stretch>
          <a:fillRect/>
        </a:stretch>
      </xdr:blipFill>
      <xdr:spPr>
        <a:xfrm>
          <a:off x="228600" y="85725"/>
          <a:ext cx="2038350" cy="1714500"/>
        </a:xfrm>
        <a:prstGeom prst="rect">
          <a:avLst/>
        </a:prstGeom>
      </xdr:spPr>
    </xdr:pic>
    <xdr:clientData/>
  </xdr:twoCellAnchor>
  <xdr:twoCellAnchor editAs="oneCell">
    <xdr:from>
      <xdr:col>4</xdr:col>
      <xdr:colOff>247650</xdr:colOff>
      <xdr:row>1</xdr:row>
      <xdr:rowOff>123825</xdr:rowOff>
    </xdr:from>
    <xdr:to>
      <xdr:col>7</xdr:col>
      <xdr:colOff>266700</xdr:colOff>
      <xdr:row>10</xdr:row>
      <xdr:rowOff>38100</xdr:rowOff>
    </xdr:to>
    <xdr:pic>
      <xdr:nvPicPr>
        <xdr:cNvPr id="4" name="Picture 3">
          <a:extLst>
            <a:ext uri="{FF2B5EF4-FFF2-40B4-BE49-F238E27FC236}">
              <a16:creationId xmlns:a16="http://schemas.microsoft.com/office/drawing/2014/main" id="{462A5C2C-B7FF-57B9-12A0-9A5857F2B0F9}"/>
            </a:ext>
            <a:ext uri="{147F2762-F138-4A5C-976F-8EAC2B608ADB}">
              <a16:predDERef xmlns:a16="http://schemas.microsoft.com/office/drawing/2014/main" pred="{CF6E48F2-0209-1DDD-5285-3D5048B2B930}"/>
            </a:ext>
          </a:extLst>
        </xdr:cNvPr>
        <xdr:cNvPicPr>
          <a:picLocks noChangeAspect="1"/>
        </xdr:cNvPicPr>
      </xdr:nvPicPr>
      <xdr:blipFill>
        <a:blip xmlns:r="http://schemas.openxmlformats.org/officeDocument/2006/relationships" r:embed="rId2"/>
        <a:stretch>
          <a:fillRect/>
        </a:stretch>
      </xdr:blipFill>
      <xdr:spPr>
        <a:xfrm>
          <a:off x="2609850" y="285750"/>
          <a:ext cx="1790700" cy="1371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457200</xdr:colOff>
      <xdr:row>0</xdr:row>
      <xdr:rowOff>142875</xdr:rowOff>
    </xdr:from>
    <xdr:to>
      <xdr:col>5</xdr:col>
      <xdr:colOff>228600</xdr:colOff>
      <xdr:row>29</xdr:row>
      <xdr:rowOff>19050</xdr:rowOff>
    </xdr:to>
    <xdr:pic>
      <xdr:nvPicPr>
        <xdr:cNvPr id="3" name="Picture 2">
          <a:extLst>
            <a:ext uri="{FF2B5EF4-FFF2-40B4-BE49-F238E27FC236}">
              <a16:creationId xmlns:a16="http://schemas.microsoft.com/office/drawing/2014/main" id="{A3198393-7896-97ED-9F74-94DBF27AD7F1}"/>
            </a:ext>
          </a:extLst>
        </xdr:cNvPr>
        <xdr:cNvPicPr>
          <a:picLocks noChangeAspect="1"/>
        </xdr:cNvPicPr>
      </xdr:nvPicPr>
      <xdr:blipFill>
        <a:blip xmlns:r="http://schemas.openxmlformats.org/officeDocument/2006/relationships" r:embed="rId1"/>
        <a:stretch>
          <a:fillRect/>
        </a:stretch>
      </xdr:blipFill>
      <xdr:spPr>
        <a:xfrm>
          <a:off x="457200" y="142875"/>
          <a:ext cx="2724150" cy="4572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B82B-EBFC-4345-A61F-15923F825F23}">
  <sheetPr codeName="Sheet1">
    <pageSetUpPr fitToPage="1"/>
  </sheetPr>
  <dimension ref="B1:L28"/>
  <sheetViews>
    <sheetView zoomScaleNormal="100" workbookViewId="0">
      <selection activeCell="D22" sqref="D22:G22"/>
    </sheetView>
  </sheetViews>
  <sheetFormatPr defaultColWidth="8.84375" defaultRowHeight="14.6"/>
  <cols>
    <col min="1" max="1" width="2.3046875" style="21" customWidth="1"/>
    <col min="2" max="2" width="10.3828125" style="21" customWidth="1"/>
    <col min="3" max="3" width="13.15234375" style="21" customWidth="1"/>
    <col min="4" max="4" width="11" style="21" customWidth="1"/>
    <col min="5" max="5" width="9" style="21" customWidth="1"/>
    <col min="6" max="6" width="8.84375" style="21"/>
    <col min="7" max="7" width="10.15234375" style="21" customWidth="1"/>
    <col min="8" max="16384" width="8.84375" style="21"/>
  </cols>
  <sheetData>
    <row r="1" spans="2:12">
      <c r="L1" s="22"/>
    </row>
    <row r="2" spans="2:12" ht="29.15" customHeight="1">
      <c r="F2" s="102" t="s">
        <v>0</v>
      </c>
      <c r="G2" s="102"/>
      <c r="H2" s="103" t="s">
        <v>1</v>
      </c>
      <c r="I2" s="103"/>
      <c r="J2" s="103"/>
      <c r="L2" s="22"/>
    </row>
    <row r="3" spans="2:12">
      <c r="F3" s="102" t="s">
        <v>2</v>
      </c>
      <c r="G3" s="102"/>
      <c r="H3" s="104" t="s">
        <v>3</v>
      </c>
      <c r="I3" s="104"/>
      <c r="J3" s="104"/>
      <c r="L3" s="22"/>
    </row>
    <row r="4" spans="2:12">
      <c r="F4" s="102" t="s">
        <v>4</v>
      </c>
      <c r="G4" s="102"/>
      <c r="H4" s="104" t="s">
        <v>5</v>
      </c>
      <c r="I4" s="104"/>
      <c r="J4" s="104"/>
      <c r="L4" s="22"/>
    </row>
    <row r="5" spans="2:12">
      <c r="F5" s="102" t="s">
        <v>6</v>
      </c>
      <c r="G5" s="102"/>
      <c r="H5" s="105" t="s">
        <v>7</v>
      </c>
      <c r="I5" s="104"/>
      <c r="J5" s="104"/>
      <c r="L5" s="22"/>
    </row>
    <row r="6" spans="2:12">
      <c r="F6" s="102" t="s">
        <v>8</v>
      </c>
      <c r="G6" s="102"/>
      <c r="H6" s="106">
        <v>44630</v>
      </c>
      <c r="I6" s="104"/>
      <c r="J6" s="104"/>
      <c r="L6" s="22"/>
    </row>
    <row r="7" spans="2:12">
      <c r="F7" s="102" t="s">
        <v>9</v>
      </c>
      <c r="G7" s="102"/>
      <c r="H7" s="104" t="s">
        <v>10</v>
      </c>
      <c r="I7" s="104"/>
      <c r="J7" s="104"/>
      <c r="L7" s="22"/>
    </row>
    <row r="8" spans="2:12" ht="26.15">
      <c r="B8" s="23" t="s">
        <v>0</v>
      </c>
      <c r="C8" s="24" t="s">
        <v>1</v>
      </c>
      <c r="D8" s="25"/>
      <c r="E8" s="25"/>
      <c r="F8" s="25"/>
      <c r="G8" s="25"/>
      <c r="H8" s="25"/>
      <c r="I8" s="25"/>
      <c r="J8" s="25"/>
      <c r="L8" s="22"/>
    </row>
    <row r="9" spans="2:12">
      <c r="C9" s="26"/>
      <c r="E9" s="26"/>
      <c r="G9" s="26"/>
      <c r="J9" s="26"/>
      <c r="L9" s="22"/>
    </row>
    <row r="10" spans="2:12" ht="15.9">
      <c r="B10" s="27" t="s">
        <v>11</v>
      </c>
      <c r="L10" s="22"/>
    </row>
    <row r="11" spans="2:12">
      <c r="L11" s="22"/>
    </row>
    <row r="12" spans="2:12" ht="29.15">
      <c r="B12" s="28" t="s">
        <v>12</v>
      </c>
      <c r="C12" s="28" t="s">
        <v>13</v>
      </c>
      <c r="D12" s="29" t="s">
        <v>14</v>
      </c>
      <c r="E12" s="107" t="s">
        <v>15</v>
      </c>
      <c r="F12" s="107"/>
      <c r="G12" s="107"/>
      <c r="H12" s="107"/>
      <c r="I12" s="107"/>
      <c r="L12" s="22"/>
    </row>
    <row r="13" spans="2:12">
      <c r="B13" s="30" t="s">
        <v>7</v>
      </c>
      <c r="C13" s="31"/>
      <c r="D13" s="32" t="s">
        <v>16</v>
      </c>
      <c r="E13" s="108" t="s">
        <v>17</v>
      </c>
      <c r="F13" s="109"/>
      <c r="G13" s="109"/>
      <c r="H13" s="109"/>
      <c r="I13" s="110"/>
      <c r="L13" s="22"/>
    </row>
    <row r="14" spans="2:12">
      <c r="B14" s="31"/>
      <c r="C14" s="31"/>
      <c r="D14" s="31"/>
      <c r="E14" s="108"/>
      <c r="F14" s="109"/>
      <c r="G14" s="109"/>
      <c r="H14" s="109"/>
      <c r="I14" s="110"/>
      <c r="L14" s="22"/>
    </row>
    <row r="15" spans="2:12">
      <c r="B15" s="31"/>
      <c r="C15" s="31"/>
      <c r="D15" s="31"/>
      <c r="E15" s="108"/>
      <c r="F15" s="109"/>
      <c r="G15" s="109"/>
      <c r="H15" s="109"/>
      <c r="I15" s="110"/>
      <c r="L15" s="22"/>
    </row>
    <row r="16" spans="2:12">
      <c r="L16" s="22"/>
    </row>
    <row r="17" spans="2:12">
      <c r="L17" s="22"/>
    </row>
    <row r="18" spans="2:12" ht="15.9">
      <c r="B18" s="27" t="s">
        <v>18</v>
      </c>
      <c r="L18" s="22"/>
    </row>
    <row r="19" spans="2:12">
      <c r="B19" s="21" t="s">
        <v>19</v>
      </c>
      <c r="L19" s="22"/>
    </row>
    <row r="20" spans="2:12">
      <c r="L20" s="22"/>
    </row>
    <row r="21" spans="2:12" s="34" customFormat="1" ht="19.75" customHeight="1">
      <c r="B21" s="111" t="s">
        <v>20</v>
      </c>
      <c r="C21" s="112"/>
      <c r="D21" s="111" t="s">
        <v>21</v>
      </c>
      <c r="E21" s="113"/>
      <c r="F21" s="113"/>
      <c r="G21" s="112"/>
      <c r="H21" s="33"/>
      <c r="L21" s="35"/>
    </row>
    <row r="22" spans="2:12" ht="22.75" customHeight="1">
      <c r="B22" s="114" t="s">
        <v>22</v>
      </c>
      <c r="C22" s="115"/>
      <c r="D22" s="114" t="s">
        <v>23</v>
      </c>
      <c r="E22" s="116"/>
      <c r="F22" s="116"/>
      <c r="G22" s="115"/>
      <c r="H22" s="36"/>
      <c r="L22" s="22"/>
    </row>
    <row r="23" spans="2:12" ht="22.75" customHeight="1">
      <c r="B23" s="114" t="s">
        <v>24</v>
      </c>
      <c r="C23" s="115"/>
      <c r="D23" s="114" t="s">
        <v>25</v>
      </c>
      <c r="E23" s="116"/>
      <c r="F23" s="116"/>
      <c r="G23" s="115"/>
      <c r="H23" s="36"/>
      <c r="L23" s="22"/>
    </row>
    <row r="24" spans="2:12" ht="22.75" customHeight="1">
      <c r="B24" s="114"/>
      <c r="C24" s="115"/>
      <c r="D24" s="114"/>
      <c r="E24" s="116"/>
      <c r="F24" s="116"/>
      <c r="G24" s="115"/>
      <c r="H24" s="36"/>
      <c r="L24" s="22"/>
    </row>
    <row r="25" spans="2:12">
      <c r="L25" s="22"/>
    </row>
    <row r="26" spans="2:12">
      <c r="L26" s="22"/>
    </row>
    <row r="27" spans="2:12" ht="18.45">
      <c r="C27" s="37" t="s">
        <v>26</v>
      </c>
      <c r="L27" s="22"/>
    </row>
    <row r="28" spans="2:12">
      <c r="L28" s="22"/>
    </row>
  </sheetData>
  <mergeCells count="24">
    <mergeCell ref="B22:C22"/>
    <mergeCell ref="D22:G22"/>
    <mergeCell ref="B23:C23"/>
    <mergeCell ref="D23:G23"/>
    <mergeCell ref="B24:C24"/>
    <mergeCell ref="D24:G24"/>
    <mergeCell ref="E12:I12"/>
    <mergeCell ref="E13:I13"/>
    <mergeCell ref="E14:I14"/>
    <mergeCell ref="E15:I15"/>
    <mergeCell ref="B21:C21"/>
    <mergeCell ref="D21:G21"/>
    <mergeCell ref="F5:G5"/>
    <mergeCell ref="H5:J5"/>
    <mergeCell ref="F6:G6"/>
    <mergeCell ref="H6:J6"/>
    <mergeCell ref="F7:G7"/>
    <mergeCell ref="H7:J7"/>
    <mergeCell ref="F2:G2"/>
    <mergeCell ref="H2:J2"/>
    <mergeCell ref="F3:G3"/>
    <mergeCell ref="H3:J3"/>
    <mergeCell ref="F4:G4"/>
    <mergeCell ref="H4:J4"/>
  </mergeCells>
  <pageMargins left="0.75" right="0.25" top="0.75" bottom="0.75" header="0.3" footer="0.3"/>
  <pageSetup fitToWidth="0"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C533-76CB-4783-8BB9-21A56BADD799}">
  <sheetPr codeName="Sheet2">
    <pageSetUpPr fitToPage="1"/>
  </sheetPr>
  <dimension ref="A1:F50"/>
  <sheetViews>
    <sheetView workbookViewId="0">
      <pane xSplit="1" ySplit="5" topLeftCell="B6" activePane="bottomRight" state="frozen"/>
      <selection pane="topRight" activeCell="B1" sqref="B1"/>
      <selection pane="bottomLeft" activeCell="A8" sqref="A8"/>
      <selection pane="bottomRight" activeCell="D23" sqref="D23"/>
    </sheetView>
  </sheetViews>
  <sheetFormatPr defaultColWidth="8.84375" defaultRowHeight="12.45"/>
  <cols>
    <col min="1" max="1" width="15.69140625" style="8" customWidth="1"/>
    <col min="2" max="2" width="20.69140625" style="11" customWidth="1"/>
    <col min="3" max="3" width="14.3828125" style="6" customWidth="1"/>
    <col min="4" max="4" width="49.3046875" style="6" customWidth="1"/>
    <col min="5" max="5" width="25.3046875" style="2" customWidth="1"/>
    <col min="6" max="6" width="52.3828125" style="2" customWidth="1"/>
    <col min="7" max="16384" width="8.84375" style="2"/>
  </cols>
  <sheetData>
    <row r="1" spans="1:6" ht="17.7" customHeight="1">
      <c r="A1" s="117" t="s">
        <v>27</v>
      </c>
      <c r="B1" s="118"/>
      <c r="C1" s="118"/>
      <c r="D1" s="118"/>
      <c r="E1" s="3"/>
    </row>
    <row r="2" spans="1:6" ht="15.45">
      <c r="A2" s="10" t="s">
        <v>28</v>
      </c>
      <c r="B2" s="4" t="s">
        <v>29</v>
      </c>
      <c r="C2" s="5"/>
      <c r="D2" s="5"/>
      <c r="E2" s="3"/>
    </row>
    <row r="3" spans="1:6" ht="15.45">
      <c r="A3" s="10" t="s">
        <v>30</v>
      </c>
      <c r="B3" s="4" t="s">
        <v>31</v>
      </c>
      <c r="C3" s="5"/>
      <c r="D3" s="5"/>
      <c r="E3" s="3"/>
    </row>
    <row r="4" spans="1:6">
      <c r="A4" s="5"/>
      <c r="B4" s="5"/>
      <c r="C4" s="5"/>
      <c r="D4" s="5"/>
      <c r="E4" s="5"/>
      <c r="F4" s="5"/>
    </row>
    <row r="5" spans="1:6" s="3" customFormat="1" ht="24.9">
      <c r="A5" s="9" t="s">
        <v>32</v>
      </c>
      <c r="B5" s="9" t="s">
        <v>33</v>
      </c>
      <c r="C5" s="9" t="s">
        <v>34</v>
      </c>
      <c r="D5" s="9" t="s">
        <v>35</v>
      </c>
      <c r="E5" s="9" t="s">
        <v>36</v>
      </c>
      <c r="F5" s="9" t="s">
        <v>37</v>
      </c>
    </row>
    <row r="6" spans="1:6">
      <c r="A6" s="19">
        <v>1</v>
      </c>
      <c r="B6" s="12">
        <v>44652</v>
      </c>
      <c r="C6" s="92" t="s">
        <v>7</v>
      </c>
      <c r="D6" s="13" t="s">
        <v>38</v>
      </c>
      <c r="E6" s="13"/>
      <c r="F6" s="14"/>
    </row>
    <row r="7" spans="1:6">
      <c r="A7" s="19">
        <v>2</v>
      </c>
      <c r="B7" s="12">
        <v>45779</v>
      </c>
      <c r="C7" s="92" t="s">
        <v>39</v>
      </c>
      <c r="D7" s="13" t="s">
        <v>40</v>
      </c>
      <c r="E7" s="13" t="s">
        <v>41</v>
      </c>
      <c r="F7" s="14"/>
    </row>
    <row r="8" spans="1:6" ht="24.9">
      <c r="A8" s="19">
        <v>3</v>
      </c>
      <c r="B8" s="12">
        <v>45782</v>
      </c>
      <c r="C8" s="92" t="s">
        <v>39</v>
      </c>
      <c r="D8" s="13" t="s">
        <v>42</v>
      </c>
      <c r="E8" s="13" t="s">
        <v>41</v>
      </c>
      <c r="F8" s="14" t="s">
        <v>43</v>
      </c>
    </row>
    <row r="9" spans="1:6" ht="24.9">
      <c r="A9" s="19">
        <v>4</v>
      </c>
      <c r="B9" s="12">
        <v>45791</v>
      </c>
      <c r="C9" s="92" t="s">
        <v>39</v>
      </c>
      <c r="D9" s="6" t="s">
        <v>44</v>
      </c>
      <c r="E9" s="13" t="s">
        <v>41</v>
      </c>
      <c r="F9" s="14"/>
    </row>
    <row r="10" spans="1:6" ht="37.299999999999997">
      <c r="A10" s="19">
        <v>5</v>
      </c>
      <c r="B10" s="12">
        <v>45833</v>
      </c>
      <c r="C10" s="92" t="s">
        <v>39</v>
      </c>
      <c r="D10" s="13" t="s">
        <v>45</v>
      </c>
      <c r="E10" s="13" t="s">
        <v>41</v>
      </c>
      <c r="F10" s="14" t="s">
        <v>46</v>
      </c>
    </row>
    <row r="11" spans="1:6">
      <c r="A11" s="19">
        <v>6</v>
      </c>
      <c r="B11" s="12" t="s">
        <v>47</v>
      </c>
      <c r="C11" s="92"/>
      <c r="D11" s="13" t="s">
        <v>47</v>
      </c>
      <c r="E11" s="13"/>
      <c r="F11" s="14"/>
    </row>
    <row r="12" spans="1:6">
      <c r="A12" s="19">
        <v>7</v>
      </c>
      <c r="B12" s="12" t="s">
        <v>47</v>
      </c>
      <c r="C12" s="92"/>
      <c r="D12" s="13" t="s">
        <v>47</v>
      </c>
      <c r="E12" s="13"/>
      <c r="F12" s="14"/>
    </row>
    <row r="13" spans="1:6">
      <c r="A13" s="19">
        <v>8</v>
      </c>
      <c r="B13" s="12" t="s">
        <v>47</v>
      </c>
      <c r="C13" s="92"/>
      <c r="D13" s="13" t="s">
        <v>47</v>
      </c>
      <c r="E13" s="13"/>
      <c r="F13" s="14"/>
    </row>
    <row r="14" spans="1:6">
      <c r="A14" s="19">
        <v>9</v>
      </c>
      <c r="B14" s="12" t="s">
        <v>47</v>
      </c>
      <c r="C14" s="92"/>
      <c r="D14" s="13" t="s">
        <v>47</v>
      </c>
      <c r="E14" s="13"/>
      <c r="F14" s="14"/>
    </row>
    <row r="15" spans="1:6">
      <c r="A15" s="19">
        <v>10</v>
      </c>
      <c r="B15" s="12" t="s">
        <v>47</v>
      </c>
      <c r="C15" s="92"/>
      <c r="D15" s="13" t="s">
        <v>47</v>
      </c>
      <c r="E15" s="13"/>
      <c r="F15" s="14"/>
    </row>
    <row r="16" spans="1:6">
      <c r="A16" s="19">
        <v>11</v>
      </c>
      <c r="B16" s="12" t="s">
        <v>47</v>
      </c>
      <c r="C16" s="92"/>
      <c r="D16" s="13" t="s">
        <v>47</v>
      </c>
      <c r="E16" s="13"/>
      <c r="F16" s="14"/>
    </row>
    <row r="17" spans="1:6">
      <c r="A17" s="19">
        <v>12</v>
      </c>
      <c r="B17" s="12" t="s">
        <v>47</v>
      </c>
      <c r="C17" s="92"/>
      <c r="D17" s="13" t="s">
        <v>47</v>
      </c>
      <c r="E17" s="13"/>
      <c r="F17" s="14"/>
    </row>
    <row r="18" spans="1:6">
      <c r="A18" s="19">
        <v>13</v>
      </c>
      <c r="B18" s="12" t="s">
        <v>47</v>
      </c>
      <c r="C18" s="92"/>
      <c r="D18" s="13" t="s">
        <v>47</v>
      </c>
      <c r="E18" s="13"/>
      <c r="F18" s="14"/>
    </row>
    <row r="19" spans="1:6">
      <c r="A19" s="19">
        <v>14</v>
      </c>
      <c r="B19" s="12" t="s">
        <v>47</v>
      </c>
      <c r="C19" s="92"/>
      <c r="D19" s="13" t="s">
        <v>47</v>
      </c>
      <c r="E19" s="13"/>
      <c r="F19" s="14"/>
    </row>
    <row r="20" spans="1:6">
      <c r="A20" s="19">
        <v>15</v>
      </c>
      <c r="B20" s="12" t="s">
        <v>47</v>
      </c>
      <c r="C20" s="92"/>
      <c r="D20" s="13" t="s">
        <v>47</v>
      </c>
      <c r="E20" s="13"/>
      <c r="F20" s="14"/>
    </row>
    <row r="21" spans="1:6">
      <c r="A21" s="19">
        <v>16</v>
      </c>
      <c r="B21" s="12" t="s">
        <v>47</v>
      </c>
      <c r="C21" s="92"/>
      <c r="D21" s="13" t="s">
        <v>47</v>
      </c>
      <c r="E21" s="13"/>
      <c r="F21" s="14"/>
    </row>
    <row r="22" spans="1:6">
      <c r="A22" s="19">
        <v>17</v>
      </c>
      <c r="B22" s="12" t="s">
        <v>47</v>
      </c>
      <c r="C22" s="92"/>
      <c r="D22" s="13" t="s">
        <v>47</v>
      </c>
      <c r="E22" s="13"/>
      <c r="F22" s="14"/>
    </row>
    <row r="23" spans="1:6">
      <c r="A23" s="19">
        <v>18</v>
      </c>
      <c r="B23" s="12" t="s">
        <v>47</v>
      </c>
      <c r="C23" s="92"/>
      <c r="D23" s="13" t="s">
        <v>47</v>
      </c>
      <c r="E23" s="13"/>
      <c r="F23" s="14"/>
    </row>
    <row r="24" spans="1:6">
      <c r="A24" s="19">
        <v>19</v>
      </c>
      <c r="B24" s="12" t="s">
        <v>47</v>
      </c>
      <c r="C24" s="92"/>
      <c r="D24" s="13" t="s">
        <v>47</v>
      </c>
      <c r="E24" s="13"/>
      <c r="F24" s="14"/>
    </row>
    <row r="25" spans="1:6">
      <c r="A25" s="19">
        <v>20</v>
      </c>
      <c r="B25" s="12" t="s">
        <v>47</v>
      </c>
      <c r="C25" s="92"/>
      <c r="D25" s="13" t="s">
        <v>47</v>
      </c>
      <c r="E25" s="13"/>
      <c r="F25" s="14"/>
    </row>
    <row r="26" spans="1:6">
      <c r="A26" s="19">
        <v>21</v>
      </c>
      <c r="B26" s="12" t="s">
        <v>47</v>
      </c>
      <c r="C26" s="92"/>
      <c r="D26" s="13" t="s">
        <v>47</v>
      </c>
      <c r="E26" s="13"/>
      <c r="F26" s="14"/>
    </row>
    <row r="27" spans="1:6">
      <c r="A27" s="19">
        <v>22</v>
      </c>
      <c r="B27" s="12" t="s">
        <v>47</v>
      </c>
      <c r="C27" s="92"/>
      <c r="D27" s="13" t="s">
        <v>47</v>
      </c>
      <c r="E27" s="13"/>
      <c r="F27" s="14"/>
    </row>
    <row r="28" spans="1:6">
      <c r="A28" s="19">
        <v>23</v>
      </c>
      <c r="B28" s="12" t="s">
        <v>47</v>
      </c>
      <c r="C28" s="92"/>
      <c r="D28" s="13" t="s">
        <v>47</v>
      </c>
      <c r="E28" s="13"/>
      <c r="F28" s="14"/>
    </row>
    <row r="29" spans="1:6">
      <c r="A29" s="19">
        <v>24</v>
      </c>
      <c r="B29" s="12" t="s">
        <v>47</v>
      </c>
      <c r="C29" s="92"/>
      <c r="D29" s="13" t="s">
        <v>47</v>
      </c>
      <c r="E29" s="13"/>
      <c r="F29" s="14"/>
    </row>
    <row r="30" spans="1:6">
      <c r="A30" s="19">
        <v>25</v>
      </c>
      <c r="B30" s="12" t="s">
        <v>47</v>
      </c>
      <c r="C30" s="92"/>
      <c r="D30" s="13" t="s">
        <v>47</v>
      </c>
      <c r="E30" s="13"/>
      <c r="F30" s="14"/>
    </row>
    <row r="31" spans="1:6">
      <c r="A31" s="19">
        <v>26</v>
      </c>
      <c r="B31" s="12" t="s">
        <v>47</v>
      </c>
      <c r="C31" s="92"/>
      <c r="D31" s="13" t="s">
        <v>47</v>
      </c>
      <c r="E31" s="13"/>
      <c r="F31" s="14"/>
    </row>
    <row r="32" spans="1:6">
      <c r="A32" s="19">
        <v>27</v>
      </c>
      <c r="B32" s="12" t="s">
        <v>47</v>
      </c>
      <c r="C32" s="92"/>
      <c r="D32" s="13" t="s">
        <v>47</v>
      </c>
      <c r="E32" s="13"/>
      <c r="F32" s="14"/>
    </row>
    <row r="33" spans="1:6">
      <c r="A33" s="19">
        <v>28</v>
      </c>
      <c r="B33" s="12" t="s">
        <v>47</v>
      </c>
      <c r="C33" s="92"/>
      <c r="D33" s="13" t="s">
        <v>47</v>
      </c>
      <c r="E33" s="13"/>
      <c r="F33" s="14"/>
    </row>
    <row r="34" spans="1:6">
      <c r="A34" s="19">
        <v>29</v>
      </c>
      <c r="B34" s="12" t="s">
        <v>47</v>
      </c>
      <c r="C34" s="92"/>
      <c r="D34" s="13" t="s">
        <v>47</v>
      </c>
      <c r="E34" s="13"/>
      <c r="F34" s="14"/>
    </row>
    <row r="35" spans="1:6">
      <c r="A35" s="19">
        <v>30</v>
      </c>
      <c r="B35" s="12" t="s">
        <v>47</v>
      </c>
      <c r="C35" s="92"/>
      <c r="D35" s="13" t="s">
        <v>47</v>
      </c>
      <c r="E35" s="13"/>
      <c r="F35" s="14"/>
    </row>
    <row r="36" spans="1:6">
      <c r="A36" s="19">
        <v>31</v>
      </c>
      <c r="B36" s="12" t="s">
        <v>47</v>
      </c>
      <c r="C36" s="92"/>
      <c r="D36" s="13" t="s">
        <v>47</v>
      </c>
      <c r="E36" s="13"/>
      <c r="F36" s="14"/>
    </row>
    <row r="37" spans="1:6">
      <c r="A37" s="19">
        <v>32</v>
      </c>
      <c r="B37" s="12" t="s">
        <v>47</v>
      </c>
      <c r="C37" s="92"/>
      <c r="D37" s="13" t="s">
        <v>47</v>
      </c>
      <c r="E37" s="13"/>
      <c r="F37" s="14"/>
    </row>
    <row r="38" spans="1:6">
      <c r="A38" s="19">
        <v>33</v>
      </c>
      <c r="B38" s="12" t="s">
        <v>47</v>
      </c>
      <c r="C38" s="92"/>
      <c r="D38" s="13" t="s">
        <v>47</v>
      </c>
      <c r="E38" s="13"/>
      <c r="F38" s="14"/>
    </row>
    <row r="39" spans="1:6">
      <c r="A39" s="19">
        <v>34</v>
      </c>
      <c r="B39" s="12" t="s">
        <v>47</v>
      </c>
      <c r="C39" s="92"/>
      <c r="D39" s="13" t="s">
        <v>47</v>
      </c>
      <c r="E39" s="13"/>
      <c r="F39" s="14"/>
    </row>
    <row r="40" spans="1:6">
      <c r="A40" s="19">
        <v>35</v>
      </c>
      <c r="B40" s="12" t="s">
        <v>47</v>
      </c>
      <c r="C40" s="92"/>
      <c r="D40" s="13" t="s">
        <v>47</v>
      </c>
      <c r="E40" s="13"/>
      <c r="F40" s="14"/>
    </row>
    <row r="41" spans="1:6">
      <c r="A41" s="19">
        <v>36</v>
      </c>
      <c r="B41" s="12" t="s">
        <v>47</v>
      </c>
      <c r="C41" s="92"/>
      <c r="D41" s="13" t="s">
        <v>47</v>
      </c>
      <c r="E41" s="13"/>
      <c r="F41" s="14"/>
    </row>
    <row r="42" spans="1:6">
      <c r="A42" s="19">
        <v>37</v>
      </c>
      <c r="B42" s="12" t="s">
        <v>47</v>
      </c>
      <c r="C42" s="92"/>
      <c r="D42" s="13" t="s">
        <v>47</v>
      </c>
      <c r="E42" s="13"/>
      <c r="F42" s="14"/>
    </row>
    <row r="43" spans="1:6">
      <c r="A43" s="19">
        <v>38</v>
      </c>
      <c r="B43" s="12" t="s">
        <v>47</v>
      </c>
      <c r="C43" s="92"/>
      <c r="D43" s="13" t="s">
        <v>47</v>
      </c>
      <c r="E43" s="13"/>
      <c r="F43" s="14"/>
    </row>
    <row r="44" spans="1:6">
      <c r="A44" s="19">
        <v>39</v>
      </c>
      <c r="B44" s="12" t="s">
        <v>47</v>
      </c>
      <c r="C44" s="92"/>
      <c r="D44" s="13" t="s">
        <v>47</v>
      </c>
      <c r="E44" s="13"/>
      <c r="F44" s="14"/>
    </row>
    <row r="45" spans="1:6">
      <c r="A45" s="19">
        <v>40</v>
      </c>
      <c r="B45" s="12" t="s">
        <v>47</v>
      </c>
      <c r="C45" s="92"/>
      <c r="D45" s="13" t="s">
        <v>47</v>
      </c>
      <c r="E45" s="13"/>
      <c r="F45" s="14"/>
    </row>
    <row r="46" spans="1:6">
      <c r="C46" s="11"/>
      <c r="E46" s="6"/>
    </row>
    <row r="47" spans="1:6">
      <c r="C47" s="11"/>
      <c r="E47" s="6"/>
    </row>
    <row r="48" spans="1:6">
      <c r="C48" s="11"/>
      <c r="E48" s="6"/>
    </row>
    <row r="49" spans="3:5">
      <c r="C49" s="11"/>
      <c r="E49" s="6"/>
    </row>
    <row r="50" spans="3:5">
      <c r="C50" s="11"/>
      <c r="E50" s="6"/>
    </row>
  </sheetData>
  <autoFilter ref="A5:E6" xr:uid="{3E1413BE-B23A-42BE-B21E-1F69820EF281}"/>
  <mergeCells count="1">
    <mergeCell ref="A1:D1"/>
  </mergeCells>
  <pageMargins left="0.7" right="0.7" top="0.75" bottom="0.75" header="0.3" footer="0.3"/>
  <pageSetup scale="77" fitToHeight="0"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D7431-DF7C-4FBF-B24B-5FF712AC2935}">
  <sheetPr codeName="Sheet3">
    <tabColor rgb="FF92D050"/>
    <pageSetUpPr fitToPage="1"/>
  </sheetPr>
  <dimension ref="A1:I50"/>
  <sheetViews>
    <sheetView workbookViewId="0">
      <pane xSplit="3" ySplit="7" topLeftCell="D8" activePane="bottomRight" state="frozen"/>
      <selection pane="topRight" activeCell="E4" sqref="E4"/>
      <selection pane="bottomLeft" activeCell="E4" sqref="E4"/>
      <selection pane="bottomRight" activeCell="A42" sqref="A42"/>
    </sheetView>
  </sheetViews>
  <sheetFormatPr defaultColWidth="8.84375" defaultRowHeight="12.45"/>
  <cols>
    <col min="1" max="1" width="20.69140625" style="8" customWidth="1"/>
    <col min="2" max="2" width="25.69140625" style="6" customWidth="1"/>
    <col min="3" max="4" width="40.69140625" style="6" customWidth="1"/>
    <col min="5" max="5" width="17.15234375" style="2" customWidth="1"/>
    <col min="6" max="6" width="25.69140625" style="2" customWidth="1"/>
    <col min="7" max="7" width="30.69140625" style="2" customWidth="1"/>
    <col min="8" max="16384" width="8.84375" style="2"/>
  </cols>
  <sheetData>
    <row r="1" spans="1:9" ht="21" customHeight="1">
      <c r="A1" s="119" t="s">
        <v>48</v>
      </c>
      <c r="B1" s="120"/>
      <c r="C1" s="1"/>
      <c r="D1" s="121" t="s">
        <v>49</v>
      </c>
      <c r="E1" s="122"/>
      <c r="F1" s="122"/>
      <c r="G1" s="122"/>
    </row>
    <row r="2" spans="1:9" ht="21" customHeight="1">
      <c r="A2" s="10" t="s">
        <v>28</v>
      </c>
      <c r="B2" s="4" t="s">
        <v>50</v>
      </c>
      <c r="C2" s="5"/>
      <c r="D2" s="18" t="s">
        <v>51</v>
      </c>
      <c r="E2" s="14" t="s">
        <v>24</v>
      </c>
      <c r="F2" s="18" t="s">
        <v>52</v>
      </c>
      <c r="G2" s="14" t="s">
        <v>53</v>
      </c>
    </row>
    <row r="3" spans="1:9" ht="21" customHeight="1">
      <c r="A3" s="10" t="s">
        <v>30</v>
      </c>
      <c r="B3" s="4" t="s">
        <v>31</v>
      </c>
      <c r="C3" s="5"/>
      <c r="D3" s="18" t="s">
        <v>54</v>
      </c>
      <c r="E3" s="14" t="s">
        <v>55</v>
      </c>
      <c r="F3" s="18" t="s">
        <v>52</v>
      </c>
      <c r="G3" s="14" t="s">
        <v>56</v>
      </c>
    </row>
    <row r="4" spans="1:9" ht="21" customHeight="1">
      <c r="A4" s="10" t="s">
        <v>57</v>
      </c>
      <c r="B4" s="20">
        <v>0.1</v>
      </c>
      <c r="C4" s="5"/>
      <c r="D4" s="18" t="s">
        <v>58</v>
      </c>
      <c r="E4" s="14" t="s">
        <v>56</v>
      </c>
      <c r="F4" s="18" t="s">
        <v>52</v>
      </c>
      <c r="G4" s="14" t="s">
        <v>59</v>
      </c>
      <c r="I4" s="2" t="s">
        <v>47</v>
      </c>
    </row>
    <row r="5" spans="1:9" ht="21" customHeight="1">
      <c r="A5" s="10" t="s">
        <v>13</v>
      </c>
      <c r="B5" s="7">
        <v>44861</v>
      </c>
      <c r="C5" s="5"/>
      <c r="D5" s="18" t="s">
        <v>60</v>
      </c>
      <c r="E5" s="14" t="s">
        <v>22</v>
      </c>
      <c r="F5" s="18" t="s">
        <v>52</v>
      </c>
      <c r="G5" s="14" t="s">
        <v>61</v>
      </c>
    </row>
    <row r="6" spans="1:9" ht="20.5" customHeight="1">
      <c r="A6" s="5"/>
      <c r="B6" s="5"/>
      <c r="C6" s="5"/>
      <c r="D6" s="5"/>
      <c r="E6" s="5"/>
      <c r="F6" s="5"/>
      <c r="G6" s="5"/>
    </row>
    <row r="7" spans="1:9" s="3" customFormat="1" ht="47.5" customHeight="1">
      <c r="A7" s="9" t="s">
        <v>62</v>
      </c>
      <c r="B7" s="9" t="s">
        <v>63</v>
      </c>
      <c r="C7" s="9" t="s">
        <v>64</v>
      </c>
      <c r="D7" s="9" t="s">
        <v>65</v>
      </c>
      <c r="E7" s="9" t="s">
        <v>66</v>
      </c>
      <c r="F7" s="9" t="s">
        <v>67</v>
      </c>
      <c r="G7" s="9" t="s">
        <v>37</v>
      </c>
    </row>
    <row r="8" spans="1:9" ht="24.9">
      <c r="A8" s="16" t="s">
        <v>68</v>
      </c>
      <c r="B8" s="13" t="s">
        <v>69</v>
      </c>
      <c r="C8" s="13" t="s">
        <v>70</v>
      </c>
      <c r="D8" s="17"/>
      <c r="E8" s="13" t="s">
        <v>71</v>
      </c>
      <c r="F8" s="13"/>
      <c r="G8" s="14" t="s">
        <v>72</v>
      </c>
    </row>
    <row r="9" spans="1:9" ht="24.9">
      <c r="A9" s="16" t="s">
        <v>73</v>
      </c>
      <c r="B9" s="13" t="s">
        <v>69</v>
      </c>
      <c r="C9" s="13" t="s">
        <v>74</v>
      </c>
      <c r="D9" s="13"/>
      <c r="E9" s="13" t="s">
        <v>75</v>
      </c>
      <c r="F9" s="13"/>
      <c r="G9" s="14"/>
    </row>
    <row r="10" spans="1:9" ht="37.299999999999997">
      <c r="A10" s="16" t="s">
        <v>76</v>
      </c>
      <c r="B10" s="13" t="s">
        <v>69</v>
      </c>
      <c r="C10" s="13" t="s">
        <v>77</v>
      </c>
      <c r="D10" s="38"/>
      <c r="E10" s="13" t="s">
        <v>71</v>
      </c>
      <c r="F10" s="13"/>
      <c r="G10" s="14"/>
    </row>
    <row r="11" spans="1:9" ht="37.299999999999997">
      <c r="A11" s="16" t="s">
        <v>78</v>
      </c>
      <c r="B11" s="13" t="s">
        <v>69</v>
      </c>
      <c r="C11" s="13" t="s">
        <v>79</v>
      </c>
      <c r="D11" s="13"/>
      <c r="E11" s="13" t="s">
        <v>80</v>
      </c>
      <c r="F11" s="13"/>
      <c r="G11" s="14" t="s">
        <v>81</v>
      </c>
    </row>
    <row r="12" spans="1:9" ht="49.75">
      <c r="A12" s="16" t="s">
        <v>82</v>
      </c>
      <c r="B12" s="13" t="s">
        <v>83</v>
      </c>
      <c r="C12" s="39" t="s">
        <v>84</v>
      </c>
      <c r="D12" s="13"/>
      <c r="E12" s="13" t="s">
        <v>71</v>
      </c>
      <c r="F12" s="13"/>
      <c r="G12" s="14"/>
    </row>
    <row r="13" spans="1:9" ht="74.599999999999994">
      <c r="A13" s="16" t="s">
        <v>85</v>
      </c>
      <c r="B13" s="13" t="s">
        <v>83</v>
      </c>
      <c r="C13" s="99" t="s">
        <v>86</v>
      </c>
      <c r="D13" s="13"/>
      <c r="E13" s="13" t="s">
        <v>71</v>
      </c>
      <c r="F13" s="13"/>
      <c r="G13" s="14"/>
    </row>
    <row r="14" spans="1:9" ht="37.299999999999997">
      <c r="A14" s="16" t="s">
        <v>87</v>
      </c>
      <c r="B14" s="13" t="s">
        <v>83</v>
      </c>
      <c r="C14" s="39" t="s">
        <v>88</v>
      </c>
      <c r="D14" s="13"/>
      <c r="E14" s="13" t="s">
        <v>89</v>
      </c>
      <c r="F14" s="13"/>
      <c r="G14" s="14"/>
    </row>
    <row r="15" spans="1:9" ht="23.25" customHeight="1">
      <c r="A15" s="16" t="s">
        <v>90</v>
      </c>
      <c r="B15" s="13" t="s">
        <v>83</v>
      </c>
      <c r="C15" s="99" t="s">
        <v>91</v>
      </c>
      <c r="D15" s="13"/>
      <c r="E15" s="13" t="s">
        <v>92</v>
      </c>
      <c r="F15" s="13"/>
      <c r="G15" s="14"/>
    </row>
    <row r="16" spans="1:9" ht="62.15">
      <c r="A16" s="16" t="s">
        <v>93</v>
      </c>
      <c r="B16" s="13" t="s">
        <v>83</v>
      </c>
      <c r="C16" s="13" t="s">
        <v>94</v>
      </c>
      <c r="D16" s="13"/>
      <c r="E16" s="13" t="s">
        <v>95</v>
      </c>
      <c r="F16" s="13"/>
      <c r="G16" s="14"/>
    </row>
    <row r="17" spans="1:7" ht="62.15">
      <c r="A17" s="16" t="s">
        <v>96</v>
      </c>
      <c r="B17" s="13" t="s">
        <v>97</v>
      </c>
      <c r="C17" s="40" t="s">
        <v>98</v>
      </c>
      <c r="D17" s="13"/>
      <c r="E17" s="47" t="s">
        <v>99</v>
      </c>
      <c r="F17" s="13"/>
      <c r="G17" s="14"/>
    </row>
    <row r="18" spans="1:7" ht="62.25" customHeight="1">
      <c r="A18" s="16" t="s">
        <v>100</v>
      </c>
      <c r="B18" s="13" t="s">
        <v>97</v>
      </c>
      <c r="C18" s="40" t="s">
        <v>101</v>
      </c>
      <c r="D18" s="13"/>
      <c r="E18" s="48" t="s">
        <v>102</v>
      </c>
      <c r="F18" s="13"/>
      <c r="G18" s="14"/>
    </row>
    <row r="19" spans="1:7" ht="37.299999999999997">
      <c r="A19" s="16" t="s">
        <v>103</v>
      </c>
      <c r="B19" s="13" t="s">
        <v>97</v>
      </c>
      <c r="C19" s="40" t="s">
        <v>104</v>
      </c>
      <c r="D19" s="13"/>
      <c r="E19" s="48" t="s">
        <v>105</v>
      </c>
      <c r="F19" s="13"/>
      <c r="G19" s="14"/>
    </row>
    <row r="20" spans="1:7" ht="37.299999999999997">
      <c r="A20" s="16" t="s">
        <v>106</v>
      </c>
      <c r="B20" s="13" t="s">
        <v>97</v>
      </c>
      <c r="C20" s="40" t="s">
        <v>107</v>
      </c>
      <c r="D20" s="13"/>
      <c r="E20" s="48" t="s">
        <v>105</v>
      </c>
      <c r="F20" s="13"/>
      <c r="G20" s="14"/>
    </row>
    <row r="21" spans="1:7" ht="49.75">
      <c r="A21" s="16" t="s">
        <v>108</v>
      </c>
      <c r="B21" s="13" t="s">
        <v>97</v>
      </c>
      <c r="C21" s="40" t="s">
        <v>109</v>
      </c>
      <c r="D21" s="13"/>
      <c r="E21" s="44" t="s">
        <v>92</v>
      </c>
      <c r="F21" s="13"/>
      <c r="G21" s="39" t="s">
        <v>110</v>
      </c>
    </row>
    <row r="22" spans="1:7" ht="24.9">
      <c r="A22" s="16" t="s">
        <v>111</v>
      </c>
      <c r="B22" s="13" t="s">
        <v>97</v>
      </c>
      <c r="C22" s="40" t="s">
        <v>112</v>
      </c>
      <c r="D22" s="13"/>
      <c r="E22" s="44" t="s">
        <v>92</v>
      </c>
      <c r="F22" s="13"/>
      <c r="G22" s="40" t="s">
        <v>113</v>
      </c>
    </row>
    <row r="23" spans="1:7" ht="37.299999999999997">
      <c r="A23" s="16" t="s">
        <v>114</v>
      </c>
      <c r="B23" s="13" t="s">
        <v>97</v>
      </c>
      <c r="C23" s="40" t="s">
        <v>115</v>
      </c>
      <c r="D23" s="13"/>
      <c r="E23" s="44" t="s">
        <v>116</v>
      </c>
      <c r="F23" s="13"/>
      <c r="G23" s="40" t="s">
        <v>117</v>
      </c>
    </row>
    <row r="24" spans="1:7" ht="24.9">
      <c r="A24" s="16" t="s">
        <v>118</v>
      </c>
      <c r="B24" s="13" t="s">
        <v>83</v>
      </c>
      <c r="C24" s="13" t="s">
        <v>119</v>
      </c>
      <c r="D24" s="13"/>
      <c r="E24" s="44" t="s">
        <v>95</v>
      </c>
      <c r="F24" s="13"/>
      <c r="G24" s="40" t="s">
        <v>120</v>
      </c>
    </row>
    <row r="25" spans="1:7" ht="49.75">
      <c r="A25" s="16" t="s">
        <v>121</v>
      </c>
      <c r="B25" s="13" t="s">
        <v>122</v>
      </c>
      <c r="C25" s="13" t="s">
        <v>123</v>
      </c>
      <c r="D25" s="13"/>
      <c r="E25" s="48" t="s">
        <v>95</v>
      </c>
      <c r="F25" s="13"/>
      <c r="G25" s="40" t="s">
        <v>124</v>
      </c>
    </row>
    <row r="26" spans="1:7" ht="37.299999999999997">
      <c r="A26" s="16" t="s">
        <v>125</v>
      </c>
      <c r="B26" s="45" t="s">
        <v>122</v>
      </c>
      <c r="C26" s="45" t="s">
        <v>126</v>
      </c>
      <c r="D26" s="42" t="s">
        <v>120</v>
      </c>
      <c r="E26" s="49" t="s">
        <v>80</v>
      </c>
      <c r="F26" s="42" t="s">
        <v>120</v>
      </c>
      <c r="G26" s="42" t="s">
        <v>127</v>
      </c>
    </row>
    <row r="27" spans="1:7" ht="37.299999999999997">
      <c r="A27" s="16" t="s">
        <v>128</v>
      </c>
      <c r="B27" s="46" t="s">
        <v>97</v>
      </c>
      <c r="C27" s="52" t="s">
        <v>129</v>
      </c>
      <c r="D27" s="43" t="s">
        <v>120</v>
      </c>
      <c r="E27" s="50" t="s">
        <v>71</v>
      </c>
      <c r="F27" s="43" t="s">
        <v>120</v>
      </c>
      <c r="G27" s="43" t="s">
        <v>120</v>
      </c>
    </row>
    <row r="28" spans="1:7" ht="49.75">
      <c r="A28" s="19" t="s">
        <v>130</v>
      </c>
      <c r="B28" s="54" t="s">
        <v>97</v>
      </c>
      <c r="C28" s="100" t="s">
        <v>131</v>
      </c>
      <c r="D28" s="55" t="s">
        <v>120</v>
      </c>
      <c r="E28" s="50" t="s">
        <v>92</v>
      </c>
      <c r="F28" s="55" t="s">
        <v>120</v>
      </c>
      <c r="G28" s="55"/>
    </row>
    <row r="29" spans="1:7" ht="136.75">
      <c r="A29" s="16" t="s">
        <v>132</v>
      </c>
      <c r="B29" s="46" t="s">
        <v>97</v>
      </c>
      <c r="C29" s="52" t="s">
        <v>133</v>
      </c>
      <c r="D29" s="43" t="s">
        <v>120</v>
      </c>
      <c r="E29" s="50" t="s">
        <v>134</v>
      </c>
      <c r="F29" s="43" t="s">
        <v>120</v>
      </c>
      <c r="G29" s="53" t="s">
        <v>135</v>
      </c>
    </row>
    <row r="30" spans="1:7" ht="37.299999999999997">
      <c r="A30" s="16" t="s">
        <v>136</v>
      </c>
      <c r="B30" s="46" t="s">
        <v>97</v>
      </c>
      <c r="C30" s="52" t="s">
        <v>137</v>
      </c>
      <c r="D30" s="43" t="s">
        <v>120</v>
      </c>
      <c r="E30" s="50" t="s">
        <v>89</v>
      </c>
      <c r="F30" s="43" t="s">
        <v>120</v>
      </c>
      <c r="G30" s="43" t="s">
        <v>120</v>
      </c>
    </row>
    <row r="31" spans="1:7" ht="37.299999999999997">
      <c r="A31" s="16" t="s">
        <v>138</v>
      </c>
      <c r="B31" s="46" t="s">
        <v>97</v>
      </c>
      <c r="C31" s="52" t="s">
        <v>139</v>
      </c>
      <c r="D31" s="43" t="s">
        <v>120</v>
      </c>
      <c r="E31" s="50" t="s">
        <v>140</v>
      </c>
      <c r="F31" s="43" t="s">
        <v>120</v>
      </c>
      <c r="G31" s="43" t="s">
        <v>120</v>
      </c>
    </row>
    <row r="32" spans="1:7" ht="111.9">
      <c r="A32" s="16" t="s">
        <v>141</v>
      </c>
      <c r="B32" s="46" t="s">
        <v>142</v>
      </c>
      <c r="C32" s="52" t="s">
        <v>143</v>
      </c>
      <c r="D32" s="43" t="s">
        <v>120</v>
      </c>
      <c r="E32" s="50" t="s">
        <v>134</v>
      </c>
      <c r="F32" s="43" t="s">
        <v>120</v>
      </c>
      <c r="G32" s="55"/>
    </row>
    <row r="33" spans="1:7" ht="74.599999999999994">
      <c r="A33" s="16" t="s">
        <v>144</v>
      </c>
      <c r="B33" s="46" t="s">
        <v>97</v>
      </c>
      <c r="C33" s="52" t="s">
        <v>145</v>
      </c>
      <c r="D33" s="43" t="s">
        <v>120</v>
      </c>
      <c r="E33" s="50" t="s">
        <v>134</v>
      </c>
      <c r="F33" s="43" t="s">
        <v>120</v>
      </c>
      <c r="G33" s="43" t="s">
        <v>120</v>
      </c>
    </row>
    <row r="34" spans="1:7">
      <c r="A34" s="16" t="s">
        <v>146</v>
      </c>
      <c r="B34" s="46" t="s">
        <v>147</v>
      </c>
      <c r="C34" s="52" t="s">
        <v>148</v>
      </c>
      <c r="D34" s="43"/>
      <c r="E34" s="50" t="s">
        <v>134</v>
      </c>
      <c r="F34" s="43"/>
      <c r="G34" s="43"/>
    </row>
    <row r="35" spans="1:7" ht="49.75">
      <c r="A35" s="16" t="s">
        <v>149</v>
      </c>
      <c r="B35" s="46" t="s">
        <v>147</v>
      </c>
      <c r="C35" s="52" t="s">
        <v>150</v>
      </c>
      <c r="D35" s="43" t="s">
        <v>120</v>
      </c>
      <c r="E35" s="50" t="s">
        <v>134</v>
      </c>
      <c r="F35" s="43" t="s">
        <v>120</v>
      </c>
      <c r="G35" s="43" t="s">
        <v>120</v>
      </c>
    </row>
    <row r="36" spans="1:7" ht="24.9">
      <c r="A36" s="16" t="s">
        <v>151</v>
      </c>
      <c r="B36" s="46" t="s">
        <v>97</v>
      </c>
      <c r="C36" s="52" t="s">
        <v>152</v>
      </c>
      <c r="D36" s="43" t="s">
        <v>120</v>
      </c>
      <c r="E36" s="50" t="s">
        <v>95</v>
      </c>
      <c r="F36" s="43" t="s">
        <v>120</v>
      </c>
      <c r="G36" s="43" t="s">
        <v>120</v>
      </c>
    </row>
    <row r="37" spans="1:7" ht="62.15">
      <c r="A37" s="16" t="s">
        <v>153</v>
      </c>
      <c r="B37" s="46" t="s">
        <v>97</v>
      </c>
      <c r="C37" s="52" t="s">
        <v>154</v>
      </c>
      <c r="D37" s="43" t="s">
        <v>120</v>
      </c>
      <c r="E37" s="50" t="s">
        <v>134</v>
      </c>
      <c r="F37" s="43" t="s">
        <v>120</v>
      </c>
      <c r="G37" s="43" t="s">
        <v>120</v>
      </c>
    </row>
    <row r="38" spans="1:7" ht="49.75">
      <c r="A38" s="16" t="s">
        <v>155</v>
      </c>
      <c r="B38" s="46" t="s">
        <v>97</v>
      </c>
      <c r="C38" s="52" t="s">
        <v>156</v>
      </c>
      <c r="D38" s="43" t="s">
        <v>120</v>
      </c>
      <c r="E38" s="50" t="s">
        <v>134</v>
      </c>
      <c r="F38" s="43" t="s">
        <v>120</v>
      </c>
      <c r="G38" s="43" t="s">
        <v>120</v>
      </c>
    </row>
    <row r="39" spans="1:7" ht="37.299999999999997">
      <c r="A39" s="16" t="s">
        <v>157</v>
      </c>
      <c r="B39" s="46" t="s">
        <v>97</v>
      </c>
      <c r="C39" s="52" t="s">
        <v>158</v>
      </c>
      <c r="D39" s="43" t="s">
        <v>120</v>
      </c>
      <c r="E39" s="51" t="s">
        <v>159</v>
      </c>
      <c r="F39" s="43" t="s">
        <v>120</v>
      </c>
      <c r="G39" s="43" t="s">
        <v>120</v>
      </c>
    </row>
    <row r="40" spans="1:7" ht="49.75">
      <c r="A40" s="16" t="s">
        <v>160</v>
      </c>
      <c r="B40" s="46" t="s">
        <v>97</v>
      </c>
      <c r="C40" s="52" t="s">
        <v>161</v>
      </c>
      <c r="D40" s="43" t="s">
        <v>120</v>
      </c>
      <c r="E40" s="50" t="s">
        <v>162</v>
      </c>
      <c r="F40" s="43" t="s">
        <v>120</v>
      </c>
      <c r="G40" s="43" t="s">
        <v>120</v>
      </c>
    </row>
    <row r="41" spans="1:7" ht="37.299999999999997">
      <c r="A41" s="16" t="s">
        <v>163</v>
      </c>
      <c r="B41" s="46" t="s">
        <v>97</v>
      </c>
      <c r="C41" s="52" t="s">
        <v>164</v>
      </c>
      <c r="D41" s="43" t="s">
        <v>120</v>
      </c>
      <c r="E41" s="50" t="s">
        <v>165</v>
      </c>
      <c r="F41" s="43" t="s">
        <v>120</v>
      </c>
      <c r="G41" s="43" t="s">
        <v>120</v>
      </c>
    </row>
    <row r="42" spans="1:7" ht="37.299999999999997">
      <c r="A42" s="16" t="s">
        <v>166</v>
      </c>
      <c r="B42" s="46" t="s">
        <v>97</v>
      </c>
      <c r="C42" s="52" t="s">
        <v>167</v>
      </c>
      <c r="D42" s="43" t="s">
        <v>120</v>
      </c>
      <c r="E42" s="50" t="s">
        <v>105</v>
      </c>
      <c r="F42" s="43" t="s">
        <v>120</v>
      </c>
      <c r="G42" s="43" t="s">
        <v>120</v>
      </c>
    </row>
    <row r="43" spans="1:7" ht="24.9">
      <c r="A43" s="16" t="s">
        <v>168</v>
      </c>
      <c r="B43" s="13" t="s">
        <v>69</v>
      </c>
      <c r="C43" s="13" t="s">
        <v>169</v>
      </c>
      <c r="D43" s="13"/>
      <c r="E43" s="50" t="s">
        <v>170</v>
      </c>
      <c r="F43" s="13"/>
      <c r="G43" s="14"/>
    </row>
    <row r="44" spans="1:7" ht="24.9">
      <c r="A44" s="16" t="s">
        <v>171</v>
      </c>
      <c r="B44" s="13" t="s">
        <v>69</v>
      </c>
      <c r="C44" s="13" t="s">
        <v>172</v>
      </c>
      <c r="D44" s="13"/>
      <c r="E44" s="50" t="s">
        <v>92</v>
      </c>
      <c r="F44" s="13"/>
      <c r="G44" s="14"/>
    </row>
    <row r="45" spans="1:7">
      <c r="A45" s="16" t="s">
        <v>173</v>
      </c>
      <c r="B45" s="13" t="s">
        <v>69</v>
      </c>
      <c r="C45" s="13" t="s">
        <v>174</v>
      </c>
      <c r="D45" s="13"/>
      <c r="E45" s="50" t="s">
        <v>175</v>
      </c>
      <c r="F45" s="13"/>
      <c r="G45" s="14"/>
    </row>
    <row r="46" spans="1:7" ht="24.9">
      <c r="A46" s="16" t="s">
        <v>176</v>
      </c>
      <c r="B46" s="13" t="s">
        <v>177</v>
      </c>
      <c r="C46" s="13" t="s">
        <v>178</v>
      </c>
      <c r="D46" s="13"/>
      <c r="E46" s="50" t="s">
        <v>179</v>
      </c>
      <c r="F46" s="13"/>
      <c r="G46" s="14"/>
    </row>
    <row r="47" spans="1:7" ht="24.9">
      <c r="A47" s="16" t="s">
        <v>180</v>
      </c>
      <c r="B47" s="13" t="s">
        <v>177</v>
      </c>
      <c r="C47" s="13" t="s">
        <v>181</v>
      </c>
      <c r="D47" s="13"/>
      <c r="E47" s="50" t="s">
        <v>182</v>
      </c>
      <c r="F47" s="13"/>
      <c r="G47" s="14"/>
    </row>
    <row r="48" spans="1:7" ht="24.9">
      <c r="A48" s="16" t="s">
        <v>183</v>
      </c>
      <c r="B48" s="13" t="s">
        <v>184</v>
      </c>
      <c r="C48" s="13" t="s">
        <v>185</v>
      </c>
      <c r="D48" s="13"/>
      <c r="E48" s="50" t="s">
        <v>186</v>
      </c>
      <c r="F48" s="13"/>
      <c r="G48" s="14"/>
    </row>
    <row r="49" spans="1:7" ht="37.299999999999997">
      <c r="A49" s="16" t="s">
        <v>187</v>
      </c>
      <c r="B49" s="13" t="s">
        <v>188</v>
      </c>
      <c r="C49" s="13" t="s">
        <v>189</v>
      </c>
      <c r="D49" s="13"/>
      <c r="E49" s="50" t="s">
        <v>159</v>
      </c>
      <c r="F49" s="13"/>
      <c r="G49" s="14"/>
    </row>
    <row r="50" spans="1:7" ht="74.599999999999994">
      <c r="A50" s="16" t="s">
        <v>190</v>
      </c>
      <c r="B50" s="13" t="s">
        <v>97</v>
      </c>
      <c r="C50" s="99" t="s">
        <v>191</v>
      </c>
      <c r="D50" s="13"/>
      <c r="E50" s="13"/>
      <c r="F50" s="13"/>
      <c r="G50" s="14" t="s">
        <v>192</v>
      </c>
    </row>
  </sheetData>
  <autoFilter ref="A7:G44" xr:uid="{3E1413BE-B23A-42BE-B21E-1F69820EF281}"/>
  <mergeCells count="2">
    <mergeCell ref="A1:B1"/>
    <mergeCell ref="D1:G1"/>
  </mergeCells>
  <phoneticPr fontId="18" type="noConversion"/>
  <pageMargins left="0.7" right="0.7" top="0.75" bottom="0.75" header="0.3" footer="0.3"/>
  <pageSetup scale="55" fitToHeight="0" orientation="landscape" horizontalDpi="1200" verticalDpi="1200" r:id="rId1"/>
  <headerFooter>
    <oddFooter>&amp;C&amp;P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EBFD1-5839-48E7-B4AE-D964ADCD5C4A}">
  <sheetPr codeName="Sheet4">
    <tabColor rgb="FF92D050"/>
  </sheetPr>
  <dimension ref="B13:F13"/>
  <sheetViews>
    <sheetView workbookViewId="0">
      <selection activeCell="O31" sqref="O31"/>
    </sheetView>
  </sheetViews>
  <sheetFormatPr defaultColWidth="8.84375" defaultRowHeight="12.45"/>
  <cols>
    <col min="1" max="16384" width="8.84375" style="15"/>
  </cols>
  <sheetData>
    <row r="13" spans="2:6">
      <c r="B13" s="15" t="s">
        <v>193</v>
      </c>
      <c r="F13" s="15" t="s">
        <v>194</v>
      </c>
    </row>
  </sheetData>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B533D-29FD-4839-80E8-B816733DA312}">
  <sheetPr codeName="Sheet5">
    <tabColor rgb="FF00B050"/>
    <pageSetUpPr fitToPage="1"/>
  </sheetPr>
  <dimension ref="A1:S1048136"/>
  <sheetViews>
    <sheetView tabSelected="1" zoomScaleNormal="100" workbookViewId="0">
      <pane ySplit="7" topLeftCell="A8" activePane="bottomLeft" state="frozen"/>
      <selection pane="bottomLeft" activeCell="D3" sqref="D3"/>
    </sheetView>
  </sheetViews>
  <sheetFormatPr defaultColWidth="8.84375" defaultRowHeight="12.45"/>
  <cols>
    <col min="1" max="2" width="20.69140625" style="8" customWidth="1"/>
    <col min="3" max="3" width="20.15234375" style="11" customWidth="1"/>
    <col min="4" max="4" width="64.23046875" style="87" customWidth="1"/>
    <col min="5" max="5" width="23.69140625" style="6" hidden="1" customWidth="1"/>
    <col min="6" max="6" width="16.69140625" style="2" hidden="1" customWidth="1"/>
    <col min="7" max="7" width="25.69140625" style="2" hidden="1" customWidth="1"/>
    <col min="8" max="8" width="51.3828125" style="2" hidden="1" customWidth="1"/>
    <col min="9" max="11" width="8.84375" style="2"/>
    <col min="12" max="12" width="35.23046875" style="2" customWidth="1"/>
    <col min="13" max="13" width="23.3046875" style="2" customWidth="1"/>
    <col min="14" max="14" width="36" style="2" customWidth="1"/>
    <col min="15" max="15" width="18.3046875" style="2" customWidth="1"/>
    <col min="16" max="16" width="64.23046875" style="2" customWidth="1"/>
    <col min="17" max="16384" width="8.84375" style="2"/>
  </cols>
  <sheetData>
    <row r="1" spans="1:19" ht="17.600000000000001">
      <c r="A1" s="121" t="s">
        <v>48</v>
      </c>
      <c r="B1" s="122"/>
      <c r="D1" s="85"/>
      <c r="E1" s="123" t="s">
        <v>49</v>
      </c>
      <c r="F1" s="124"/>
      <c r="G1" s="124"/>
      <c r="H1" s="125"/>
      <c r="J1" s="138" t="s">
        <v>1574</v>
      </c>
      <c r="K1" s="139">
        <f>COUNTIF(K$8:K$624,"MATCH")</f>
        <v>487</v>
      </c>
    </row>
    <row r="2" spans="1:19" ht="15.45">
      <c r="A2" s="10" t="s">
        <v>28</v>
      </c>
      <c r="B2" s="73" t="s">
        <v>195</v>
      </c>
      <c r="D2" s="86"/>
      <c r="E2" s="79" t="s">
        <v>196</v>
      </c>
      <c r="F2" s="76" t="s">
        <v>197</v>
      </c>
      <c r="G2" s="78" t="s">
        <v>198</v>
      </c>
      <c r="H2" s="80" t="s">
        <v>199</v>
      </c>
      <c r="J2" s="140" t="s">
        <v>1575</v>
      </c>
      <c r="K2" s="141">
        <f>COUNTIF(K$8:K$624,"ADD")</f>
        <v>79</v>
      </c>
    </row>
    <row r="3" spans="1:19" ht="15.45">
      <c r="A3" s="10" t="s">
        <v>30</v>
      </c>
      <c r="B3" s="73" t="s">
        <v>31</v>
      </c>
      <c r="D3" s="86"/>
      <c r="E3" s="79" t="s">
        <v>54</v>
      </c>
      <c r="F3" s="76" t="s">
        <v>200</v>
      </c>
      <c r="G3" s="78" t="s">
        <v>201</v>
      </c>
      <c r="H3" s="80" t="s">
        <v>202</v>
      </c>
      <c r="J3" s="140" t="s">
        <v>1576</v>
      </c>
      <c r="K3" s="141">
        <f>COUNTIF(K$8:K$624,"DEL")</f>
        <v>45</v>
      </c>
    </row>
    <row r="4" spans="1:19" ht="15.9" thickBot="1">
      <c r="A4" s="10" t="s">
        <v>57</v>
      </c>
      <c r="B4" s="74">
        <v>1.1000000000000001</v>
      </c>
      <c r="D4" s="86"/>
      <c r="E4" s="81" t="s">
        <v>60</v>
      </c>
      <c r="F4" s="82" t="s">
        <v>203</v>
      </c>
      <c r="G4" s="83" t="s">
        <v>58</v>
      </c>
      <c r="H4" s="84" t="s">
        <v>56</v>
      </c>
      <c r="J4" s="142" t="s">
        <v>1577</v>
      </c>
      <c r="K4" s="143">
        <f>COUNTIF(K$8:K$624,"MOD")</f>
        <v>6</v>
      </c>
    </row>
    <row r="5" spans="1:19" ht="15.9" thickBot="1">
      <c r="A5" s="173" t="s">
        <v>13</v>
      </c>
      <c r="B5" s="174" t="s">
        <v>204</v>
      </c>
      <c r="D5" s="86"/>
      <c r="E5" s="77"/>
      <c r="F5" s="75"/>
      <c r="G5" s="175"/>
      <c r="H5" s="176"/>
      <c r="J5" s="177" t="s">
        <v>1578</v>
      </c>
      <c r="K5" s="178">
        <f>SUM(K1:K4)</f>
        <v>617</v>
      </c>
    </row>
    <row r="6" spans="1:19" ht="12.9" thickBot="1">
      <c r="A6" s="181" t="s">
        <v>1589</v>
      </c>
      <c r="B6" s="182"/>
      <c r="C6" s="182"/>
      <c r="D6" s="182"/>
      <c r="E6" s="182"/>
      <c r="F6" s="182"/>
      <c r="G6" s="182"/>
      <c r="H6" s="182"/>
      <c r="I6" s="183"/>
      <c r="J6" s="183"/>
      <c r="K6" s="183"/>
      <c r="L6" s="183"/>
      <c r="M6" s="184" t="s">
        <v>1586</v>
      </c>
      <c r="N6" s="184"/>
      <c r="O6" s="184"/>
      <c r="P6" s="185"/>
    </row>
    <row r="7" spans="1:19" s="3" customFormat="1" ht="37.299999999999997">
      <c r="A7" s="186" t="s">
        <v>205</v>
      </c>
      <c r="B7" s="72" t="s">
        <v>206</v>
      </c>
      <c r="C7" s="72" t="s">
        <v>62</v>
      </c>
      <c r="D7" s="88" t="s">
        <v>64</v>
      </c>
      <c r="E7" s="72" t="s">
        <v>207</v>
      </c>
      <c r="F7" s="72" t="s">
        <v>66</v>
      </c>
      <c r="G7" s="72" t="s">
        <v>67</v>
      </c>
      <c r="H7" s="72" t="s">
        <v>37</v>
      </c>
      <c r="I7" s="216" t="s">
        <v>1572</v>
      </c>
      <c r="J7" s="216" t="s">
        <v>1588</v>
      </c>
      <c r="K7" s="216" t="s">
        <v>1573</v>
      </c>
      <c r="L7" s="88" t="s">
        <v>1587</v>
      </c>
      <c r="M7" s="88" t="s">
        <v>205</v>
      </c>
      <c r="N7" s="88" t="s">
        <v>206</v>
      </c>
      <c r="O7" s="88" t="s">
        <v>1395</v>
      </c>
      <c r="P7" s="187" t="s">
        <v>1394</v>
      </c>
      <c r="Q7" s="129"/>
      <c r="R7" s="129"/>
      <c r="S7" s="129"/>
    </row>
    <row r="8" spans="1:19" s="75" customFormat="1" ht="24.9">
      <c r="A8" s="188" t="s">
        <v>208</v>
      </c>
      <c r="B8" s="147" t="s">
        <v>69</v>
      </c>
      <c r="C8" s="144" t="s">
        <v>270</v>
      </c>
      <c r="D8" s="145" t="s">
        <v>271</v>
      </c>
      <c r="E8" s="41"/>
      <c r="F8" s="93"/>
      <c r="G8" s="41"/>
      <c r="H8" s="98"/>
      <c r="I8" s="94" t="b">
        <f>EXACT(C8,O8)</f>
        <v>1</v>
      </c>
      <c r="J8" s="94" t="b">
        <f>EXACT(D8,P8)</f>
        <v>1</v>
      </c>
      <c r="K8" s="94" t="s">
        <v>1568</v>
      </c>
      <c r="L8" s="94"/>
      <c r="M8" s="160" t="s">
        <v>208</v>
      </c>
      <c r="N8" s="160" t="s">
        <v>69</v>
      </c>
      <c r="O8" s="159" t="s">
        <v>270</v>
      </c>
      <c r="P8" s="189" t="s">
        <v>271</v>
      </c>
      <c r="Q8" s="130"/>
      <c r="R8" s="130"/>
      <c r="S8" s="130"/>
    </row>
    <row r="9" spans="1:19" s="75" customFormat="1" ht="14.6">
      <c r="A9" s="188" t="s">
        <v>208</v>
      </c>
      <c r="B9" s="147" t="s">
        <v>69</v>
      </c>
      <c r="C9" s="144" t="s">
        <v>272</v>
      </c>
      <c r="D9" s="146" t="s">
        <v>273</v>
      </c>
      <c r="E9" s="179"/>
      <c r="F9" s="93"/>
      <c r="G9" s="41"/>
      <c r="H9" s="76"/>
      <c r="I9" s="94" t="b">
        <f>EXACT(C9,O9)</f>
        <v>1</v>
      </c>
      <c r="J9" s="94" t="b">
        <f>EXACT(D9,P9)</f>
        <v>1</v>
      </c>
      <c r="K9" s="94" t="s">
        <v>1568</v>
      </c>
      <c r="L9" s="94"/>
      <c r="M9" s="160" t="s">
        <v>208</v>
      </c>
      <c r="N9" s="160" t="s">
        <v>69</v>
      </c>
      <c r="O9" s="159" t="s">
        <v>272</v>
      </c>
      <c r="P9" s="190" t="s">
        <v>273</v>
      </c>
      <c r="Q9" s="130"/>
      <c r="R9" s="130"/>
      <c r="S9" s="130"/>
    </row>
    <row r="10" spans="1:19" s="75" customFormat="1" ht="14.6">
      <c r="A10" s="188" t="s">
        <v>208</v>
      </c>
      <c r="B10" s="147" t="s">
        <v>69</v>
      </c>
      <c r="C10" s="144" t="s">
        <v>274</v>
      </c>
      <c r="D10" s="146" t="s">
        <v>275</v>
      </c>
      <c r="E10" s="179"/>
      <c r="F10" s="93"/>
      <c r="G10" s="41"/>
      <c r="H10" s="76"/>
      <c r="I10" s="94" t="b">
        <f>EXACT(C10,O10)</f>
        <v>1</v>
      </c>
      <c r="J10" s="94" t="b">
        <f>EXACT(D10,P10)</f>
        <v>1</v>
      </c>
      <c r="K10" s="94" t="s">
        <v>1568</v>
      </c>
      <c r="L10" s="94"/>
      <c r="M10" s="160" t="s">
        <v>208</v>
      </c>
      <c r="N10" s="160" t="s">
        <v>69</v>
      </c>
      <c r="O10" s="159" t="s">
        <v>274</v>
      </c>
      <c r="P10" s="190" t="s">
        <v>275</v>
      </c>
      <c r="Q10" s="130"/>
      <c r="R10" s="130"/>
      <c r="S10" s="130"/>
    </row>
    <row r="11" spans="1:19" s="75" customFormat="1" ht="24.9">
      <c r="A11" s="188" t="s">
        <v>208</v>
      </c>
      <c r="B11" s="147" t="s">
        <v>69</v>
      </c>
      <c r="C11" s="144" t="s">
        <v>276</v>
      </c>
      <c r="D11" s="145" t="s">
        <v>277</v>
      </c>
      <c r="E11" s="41"/>
      <c r="F11" s="93"/>
      <c r="G11" s="41"/>
      <c r="H11" s="98"/>
      <c r="I11" s="94" t="b">
        <f>EXACT(C11,O11)</f>
        <v>1</v>
      </c>
      <c r="J11" s="94" t="b">
        <f>EXACT(D11,P11)</f>
        <v>1</v>
      </c>
      <c r="K11" s="94" t="s">
        <v>1568</v>
      </c>
      <c r="L11" s="94"/>
      <c r="M11" s="160" t="s">
        <v>208</v>
      </c>
      <c r="N11" s="160" t="s">
        <v>69</v>
      </c>
      <c r="O11" s="159" t="s">
        <v>276</v>
      </c>
      <c r="P11" s="189" t="s">
        <v>277</v>
      </c>
      <c r="Q11" s="130"/>
      <c r="R11" s="130"/>
      <c r="S11" s="130"/>
    </row>
    <row r="12" spans="1:19" s="75" customFormat="1" ht="14.6">
      <c r="A12" s="188" t="s">
        <v>208</v>
      </c>
      <c r="B12" s="147" t="s">
        <v>69</v>
      </c>
      <c r="C12" s="144" t="s">
        <v>278</v>
      </c>
      <c r="D12" s="146" t="s">
        <v>279</v>
      </c>
      <c r="E12" s="179"/>
      <c r="F12" s="93"/>
      <c r="G12" s="41"/>
      <c r="H12" s="76"/>
      <c r="I12" s="94" t="b">
        <f>EXACT(C12,O12)</f>
        <v>1</v>
      </c>
      <c r="J12" s="94" t="b">
        <f>EXACT(D12,P12)</f>
        <v>1</v>
      </c>
      <c r="K12" s="94" t="s">
        <v>1568</v>
      </c>
      <c r="L12" s="94"/>
      <c r="M12" s="160" t="s">
        <v>208</v>
      </c>
      <c r="N12" s="160" t="s">
        <v>69</v>
      </c>
      <c r="O12" s="159" t="s">
        <v>278</v>
      </c>
      <c r="P12" s="190" t="s">
        <v>279</v>
      </c>
      <c r="Q12" s="130"/>
      <c r="R12" s="130"/>
      <c r="S12" s="130"/>
    </row>
    <row r="13" spans="1:19" s="75" customFormat="1" ht="14.6">
      <c r="A13" s="188" t="s">
        <v>208</v>
      </c>
      <c r="B13" s="147" t="s">
        <v>69</v>
      </c>
      <c r="C13" s="144" t="s">
        <v>280</v>
      </c>
      <c r="D13" s="146" t="s">
        <v>281</v>
      </c>
      <c r="E13" s="179"/>
      <c r="F13" s="93"/>
      <c r="G13" s="41"/>
      <c r="H13" s="76"/>
      <c r="I13" s="94" t="b">
        <f>EXACT(C13,O13)</f>
        <v>1</v>
      </c>
      <c r="J13" s="94" t="b">
        <f>EXACT(D13,P13)</f>
        <v>1</v>
      </c>
      <c r="K13" s="94" t="s">
        <v>1568</v>
      </c>
      <c r="L13" s="94"/>
      <c r="M13" s="160" t="s">
        <v>208</v>
      </c>
      <c r="N13" s="160" t="s">
        <v>69</v>
      </c>
      <c r="O13" s="159" t="s">
        <v>280</v>
      </c>
      <c r="P13" s="190" t="s">
        <v>281</v>
      </c>
      <c r="Q13" s="130"/>
      <c r="R13" s="130"/>
      <c r="S13" s="130"/>
    </row>
    <row r="14" spans="1:19" s="75" customFormat="1" ht="14.6">
      <c r="A14" s="188" t="s">
        <v>208</v>
      </c>
      <c r="B14" s="147" t="s">
        <v>209</v>
      </c>
      <c r="C14" s="144" t="s">
        <v>210</v>
      </c>
      <c r="D14" s="145" t="s">
        <v>211</v>
      </c>
      <c r="E14" s="41"/>
      <c r="F14" s="93"/>
      <c r="G14" s="41"/>
      <c r="H14" s="76"/>
      <c r="I14" s="94" t="b">
        <f>EXACT(C14,O14)</f>
        <v>1</v>
      </c>
      <c r="J14" s="94" t="b">
        <f>EXACT(D14,P14)</f>
        <v>1</v>
      </c>
      <c r="K14" s="94" t="s">
        <v>1568</v>
      </c>
      <c r="L14" s="94"/>
      <c r="M14" s="160" t="s">
        <v>208</v>
      </c>
      <c r="N14" s="160" t="s">
        <v>209</v>
      </c>
      <c r="O14" s="159" t="s">
        <v>210</v>
      </c>
      <c r="P14" s="189" t="s">
        <v>211</v>
      </c>
      <c r="Q14" s="130"/>
      <c r="R14" s="130"/>
      <c r="S14" s="130"/>
    </row>
    <row r="15" spans="1:19" s="75" customFormat="1" ht="14.6">
      <c r="A15" s="188" t="s">
        <v>208</v>
      </c>
      <c r="B15" s="147" t="s">
        <v>209</v>
      </c>
      <c r="C15" s="144" t="s">
        <v>212</v>
      </c>
      <c r="D15" s="145" t="s">
        <v>213</v>
      </c>
      <c r="E15" s="41"/>
      <c r="F15" s="93"/>
      <c r="G15" s="41"/>
      <c r="H15" s="76"/>
      <c r="I15" s="94" t="b">
        <f>EXACT(C15,O15)</f>
        <v>1</v>
      </c>
      <c r="J15" s="94" t="b">
        <f>EXACT(D15,P15)</f>
        <v>1</v>
      </c>
      <c r="K15" s="94" t="s">
        <v>1568</v>
      </c>
      <c r="L15" s="94"/>
      <c r="M15" s="160" t="s">
        <v>208</v>
      </c>
      <c r="N15" s="160" t="s">
        <v>209</v>
      </c>
      <c r="O15" s="159" t="s">
        <v>212</v>
      </c>
      <c r="P15" s="189" t="s">
        <v>213</v>
      </c>
      <c r="Q15" s="130"/>
      <c r="R15" s="130"/>
      <c r="S15" s="130"/>
    </row>
    <row r="16" spans="1:19" s="75" customFormat="1" ht="14.6">
      <c r="A16" s="188" t="s">
        <v>208</v>
      </c>
      <c r="B16" s="147" t="s">
        <v>69</v>
      </c>
      <c r="C16" s="144" t="s">
        <v>282</v>
      </c>
      <c r="D16" s="146" t="s">
        <v>283</v>
      </c>
      <c r="E16" s="179" t="s">
        <v>284</v>
      </c>
      <c r="F16" s="93"/>
      <c r="G16" s="41"/>
      <c r="H16" s="76"/>
      <c r="I16" s="94" t="b">
        <f>EXACT(C16,O16)</f>
        <v>1</v>
      </c>
      <c r="J16" s="94" t="b">
        <f>EXACT(D16,P16)</f>
        <v>1</v>
      </c>
      <c r="K16" s="94" t="s">
        <v>1568</v>
      </c>
      <c r="L16" s="94"/>
      <c r="M16" s="160" t="s">
        <v>208</v>
      </c>
      <c r="N16" s="160" t="s">
        <v>69</v>
      </c>
      <c r="O16" s="159" t="s">
        <v>282</v>
      </c>
      <c r="P16" s="190" t="s">
        <v>283</v>
      </c>
      <c r="Q16" s="130"/>
      <c r="R16" s="130"/>
      <c r="S16" s="130"/>
    </row>
    <row r="17" spans="1:19" s="75" customFormat="1" ht="14.6">
      <c r="A17" s="188" t="s">
        <v>208</v>
      </c>
      <c r="B17" s="147" t="s">
        <v>69</v>
      </c>
      <c r="C17" s="144" t="s">
        <v>285</v>
      </c>
      <c r="D17" s="146" t="s">
        <v>286</v>
      </c>
      <c r="E17" s="179" t="s">
        <v>284</v>
      </c>
      <c r="F17" s="93"/>
      <c r="G17" s="41"/>
      <c r="H17" s="76"/>
      <c r="I17" s="94" t="b">
        <f>EXACT(C17,O17)</f>
        <v>1</v>
      </c>
      <c r="J17" s="94" t="b">
        <f>EXACT(D17,P17)</f>
        <v>1</v>
      </c>
      <c r="K17" s="94" t="s">
        <v>1568</v>
      </c>
      <c r="L17" s="94"/>
      <c r="M17" s="160" t="s">
        <v>208</v>
      </c>
      <c r="N17" s="160" t="s">
        <v>69</v>
      </c>
      <c r="O17" s="159" t="s">
        <v>285</v>
      </c>
      <c r="P17" s="190" t="s">
        <v>286</v>
      </c>
      <c r="Q17" s="130"/>
      <c r="R17" s="130"/>
      <c r="S17" s="130"/>
    </row>
    <row r="18" spans="1:19" s="75" customFormat="1" ht="14.6">
      <c r="A18" s="188" t="s">
        <v>208</v>
      </c>
      <c r="B18" s="147" t="s">
        <v>69</v>
      </c>
      <c r="C18" s="144" t="s">
        <v>287</v>
      </c>
      <c r="D18" s="145" t="s">
        <v>288</v>
      </c>
      <c r="E18" s="179"/>
      <c r="F18" s="93"/>
      <c r="G18" s="41"/>
      <c r="H18" s="95"/>
      <c r="I18" s="94" t="b">
        <f>EXACT(C18,O18)</f>
        <v>1</v>
      </c>
      <c r="J18" s="94" t="b">
        <f>EXACT(D18,P18)</f>
        <v>1</v>
      </c>
      <c r="K18" s="94" t="s">
        <v>1568</v>
      </c>
      <c r="L18" s="94"/>
      <c r="M18" s="160" t="s">
        <v>208</v>
      </c>
      <c r="N18" s="160" t="s">
        <v>69</v>
      </c>
      <c r="O18" s="159" t="s">
        <v>287</v>
      </c>
      <c r="P18" s="189" t="s">
        <v>288</v>
      </c>
      <c r="Q18" s="130"/>
      <c r="R18" s="130"/>
      <c r="S18" s="130"/>
    </row>
    <row r="19" spans="1:19" s="75" customFormat="1" ht="37.299999999999997">
      <c r="A19" s="188" t="s">
        <v>208</v>
      </c>
      <c r="B19" s="147" t="s">
        <v>69</v>
      </c>
      <c r="C19" s="144" t="s">
        <v>289</v>
      </c>
      <c r="D19" s="145" t="s">
        <v>290</v>
      </c>
      <c r="E19" s="97"/>
      <c r="F19" s="94"/>
      <c r="G19" s="41"/>
      <c r="H19" s="94"/>
      <c r="I19" s="94" t="b">
        <f>EXACT(C19,O19)</f>
        <v>1</v>
      </c>
      <c r="J19" s="94" t="b">
        <f>EXACT(D19,P19)</f>
        <v>1</v>
      </c>
      <c r="K19" s="94" t="s">
        <v>1568</v>
      </c>
      <c r="L19" s="94"/>
      <c r="M19" s="160" t="s">
        <v>208</v>
      </c>
      <c r="N19" s="160" t="s">
        <v>69</v>
      </c>
      <c r="O19" s="159" t="s">
        <v>289</v>
      </c>
      <c r="P19" s="189" t="s">
        <v>290</v>
      </c>
      <c r="Q19" s="130"/>
      <c r="R19" s="130"/>
      <c r="S19" s="130"/>
    </row>
    <row r="20" spans="1:19" s="75" customFormat="1" ht="14.6">
      <c r="A20" s="188" t="s">
        <v>208</v>
      </c>
      <c r="B20" s="147" t="s">
        <v>69</v>
      </c>
      <c r="C20" s="144" t="s">
        <v>291</v>
      </c>
      <c r="D20" s="145" t="s">
        <v>292</v>
      </c>
      <c r="E20" s="179"/>
      <c r="F20" s="93"/>
      <c r="G20" s="41"/>
      <c r="H20" s="95"/>
      <c r="I20" s="94" t="b">
        <f>EXACT(C20,O20)</f>
        <v>1</v>
      </c>
      <c r="J20" s="94" t="b">
        <f>EXACT(D20,P20)</f>
        <v>1</v>
      </c>
      <c r="K20" s="94" t="s">
        <v>1568</v>
      </c>
      <c r="L20" s="94"/>
      <c r="M20" s="160" t="s">
        <v>208</v>
      </c>
      <c r="N20" s="160" t="s">
        <v>69</v>
      </c>
      <c r="O20" s="159" t="s">
        <v>291</v>
      </c>
      <c r="P20" s="189" t="s">
        <v>292</v>
      </c>
      <c r="Q20" s="130"/>
      <c r="R20" s="130"/>
      <c r="S20" s="130"/>
    </row>
    <row r="21" spans="1:19" s="75" customFormat="1" ht="14.6">
      <c r="A21" s="188" t="s">
        <v>208</v>
      </c>
      <c r="B21" s="147" t="s">
        <v>69</v>
      </c>
      <c r="C21" s="144" t="s">
        <v>293</v>
      </c>
      <c r="D21" s="146" t="s">
        <v>294</v>
      </c>
      <c r="E21" s="179" t="s">
        <v>284</v>
      </c>
      <c r="F21" s="93"/>
      <c r="G21" s="41"/>
      <c r="H21" s="76"/>
      <c r="I21" s="94" t="b">
        <f>EXACT(C21,O21)</f>
        <v>1</v>
      </c>
      <c r="J21" s="94" t="b">
        <f>EXACT(D21,P21)</f>
        <v>1</v>
      </c>
      <c r="K21" s="94" t="s">
        <v>1568</v>
      </c>
      <c r="L21" s="94"/>
      <c r="M21" s="160" t="s">
        <v>208</v>
      </c>
      <c r="N21" s="160" t="s">
        <v>69</v>
      </c>
      <c r="O21" s="159" t="s">
        <v>293</v>
      </c>
      <c r="P21" s="190" t="s">
        <v>294</v>
      </c>
      <c r="Q21" s="130"/>
      <c r="R21" s="130"/>
      <c r="S21" s="130"/>
    </row>
    <row r="22" spans="1:19" s="75" customFormat="1" ht="14.6">
      <c r="A22" s="188" t="s">
        <v>208</v>
      </c>
      <c r="B22" s="147" t="s">
        <v>69</v>
      </c>
      <c r="C22" s="144" t="s">
        <v>295</v>
      </c>
      <c r="D22" s="146" t="s">
        <v>296</v>
      </c>
      <c r="E22" s="179" t="s">
        <v>284</v>
      </c>
      <c r="F22" s="93"/>
      <c r="G22" s="41"/>
      <c r="H22" s="76"/>
      <c r="I22" s="94" t="b">
        <f>EXACT(C22,O22)</f>
        <v>1</v>
      </c>
      <c r="J22" s="94" t="b">
        <f>EXACT(D22,P22)</f>
        <v>1</v>
      </c>
      <c r="K22" s="94" t="s">
        <v>1568</v>
      </c>
      <c r="L22" s="94"/>
      <c r="M22" s="160" t="s">
        <v>208</v>
      </c>
      <c r="N22" s="160" t="s">
        <v>69</v>
      </c>
      <c r="O22" s="159" t="s">
        <v>295</v>
      </c>
      <c r="P22" s="190" t="s">
        <v>296</v>
      </c>
      <c r="Q22" s="130"/>
      <c r="R22" s="130"/>
      <c r="S22" s="130"/>
    </row>
    <row r="23" spans="1:19" s="75" customFormat="1" ht="24.9">
      <c r="A23" s="188" t="s">
        <v>208</v>
      </c>
      <c r="B23" s="147" t="s">
        <v>69</v>
      </c>
      <c r="C23" s="144" t="s">
        <v>297</v>
      </c>
      <c r="D23" s="145" t="s">
        <v>298</v>
      </c>
      <c r="E23" s="41"/>
      <c r="F23" s="93"/>
      <c r="G23" s="41"/>
      <c r="H23" s="98"/>
      <c r="I23" s="94" t="b">
        <f>EXACT(C23,O23)</f>
        <v>1</v>
      </c>
      <c r="J23" s="94" t="b">
        <f>EXACT(D23,P23)</f>
        <v>1</v>
      </c>
      <c r="K23" s="94" t="s">
        <v>1568</v>
      </c>
      <c r="L23" s="94"/>
      <c r="M23" s="160" t="s">
        <v>208</v>
      </c>
      <c r="N23" s="160" t="s">
        <v>69</v>
      </c>
      <c r="O23" s="159" t="s">
        <v>297</v>
      </c>
      <c r="P23" s="189" t="s">
        <v>298</v>
      </c>
      <c r="Q23" s="130"/>
      <c r="R23" s="130"/>
      <c r="S23" s="130"/>
    </row>
    <row r="24" spans="1:19" s="75" customFormat="1" ht="24.9">
      <c r="A24" s="188" t="s">
        <v>208</v>
      </c>
      <c r="B24" s="147" t="s">
        <v>69</v>
      </c>
      <c r="C24" s="144" t="s">
        <v>299</v>
      </c>
      <c r="D24" s="145" t="s">
        <v>300</v>
      </c>
      <c r="E24" s="179" t="s">
        <v>284</v>
      </c>
      <c r="F24" s="93"/>
      <c r="G24" s="41"/>
      <c r="H24" s="95"/>
      <c r="I24" s="94" t="b">
        <f>EXACT(C24,O24)</f>
        <v>1</v>
      </c>
      <c r="J24" s="94" t="b">
        <f>EXACT(D24,P24)</f>
        <v>1</v>
      </c>
      <c r="K24" s="94" t="s">
        <v>1568</v>
      </c>
      <c r="L24" s="94"/>
      <c r="M24" s="160" t="s">
        <v>208</v>
      </c>
      <c r="N24" s="160" t="s">
        <v>69</v>
      </c>
      <c r="O24" s="159" t="s">
        <v>299</v>
      </c>
      <c r="P24" s="189" t="s">
        <v>300</v>
      </c>
      <c r="Q24" s="130"/>
      <c r="R24" s="130"/>
      <c r="S24" s="130"/>
    </row>
    <row r="25" spans="1:19" s="75" customFormat="1" ht="24.9">
      <c r="A25" s="188" t="s">
        <v>208</v>
      </c>
      <c r="B25" s="147" t="s">
        <v>69</v>
      </c>
      <c r="C25" s="144" t="s">
        <v>301</v>
      </c>
      <c r="D25" s="145" t="s">
        <v>302</v>
      </c>
      <c r="E25" s="179" t="s">
        <v>284</v>
      </c>
      <c r="F25" s="93"/>
      <c r="G25" s="41"/>
      <c r="H25" s="95"/>
      <c r="I25" s="94" t="b">
        <f>EXACT(C25,O25)</f>
        <v>1</v>
      </c>
      <c r="J25" s="94" t="b">
        <f>EXACT(D25,P25)</f>
        <v>1</v>
      </c>
      <c r="K25" s="94" t="s">
        <v>1568</v>
      </c>
      <c r="L25" s="94"/>
      <c r="M25" s="160" t="s">
        <v>208</v>
      </c>
      <c r="N25" s="160" t="s">
        <v>69</v>
      </c>
      <c r="O25" s="159" t="s">
        <v>301</v>
      </c>
      <c r="P25" s="189" t="s">
        <v>302</v>
      </c>
      <c r="Q25" s="130"/>
      <c r="R25" s="130"/>
      <c r="S25" s="130"/>
    </row>
    <row r="26" spans="1:19" s="75" customFormat="1" ht="24.9">
      <c r="A26" s="188" t="s">
        <v>208</v>
      </c>
      <c r="B26" s="147" t="s">
        <v>209</v>
      </c>
      <c r="C26" s="144" t="s">
        <v>214</v>
      </c>
      <c r="D26" s="148" t="s">
        <v>215</v>
      </c>
      <c r="E26" s="179"/>
      <c r="F26" s="93"/>
      <c r="G26" s="41"/>
      <c r="H26" s="94"/>
      <c r="I26" s="94" t="b">
        <f>EXACT(C26,O26)</f>
        <v>1</v>
      </c>
      <c r="J26" s="94" t="b">
        <f>EXACT(D26,P26)</f>
        <v>1</v>
      </c>
      <c r="K26" s="94" t="s">
        <v>1568</v>
      </c>
      <c r="L26" s="94"/>
      <c r="M26" s="160" t="s">
        <v>208</v>
      </c>
      <c r="N26" s="160" t="s">
        <v>209</v>
      </c>
      <c r="O26" s="159" t="s">
        <v>214</v>
      </c>
      <c r="P26" s="191" t="s">
        <v>215</v>
      </c>
      <c r="Q26" s="130"/>
      <c r="R26" s="130"/>
      <c r="S26" s="130"/>
    </row>
    <row r="27" spans="1:19" s="75" customFormat="1" ht="24.9">
      <c r="A27" s="188" t="s">
        <v>208</v>
      </c>
      <c r="B27" s="147" t="s">
        <v>209</v>
      </c>
      <c r="C27" s="144" t="s">
        <v>216</v>
      </c>
      <c r="D27" s="148" t="s">
        <v>217</v>
      </c>
      <c r="E27" s="179"/>
      <c r="F27" s="93"/>
      <c r="G27" s="41"/>
      <c r="H27" s="94"/>
      <c r="I27" s="94" t="b">
        <f>EXACT(C27,O27)</f>
        <v>1</v>
      </c>
      <c r="J27" s="94" t="b">
        <f>EXACT(D27,P27)</f>
        <v>1</v>
      </c>
      <c r="K27" s="94" t="s">
        <v>1568</v>
      </c>
      <c r="L27" s="94"/>
      <c r="M27" s="160" t="s">
        <v>208</v>
      </c>
      <c r="N27" s="160" t="s">
        <v>209</v>
      </c>
      <c r="O27" s="159" t="s">
        <v>216</v>
      </c>
      <c r="P27" s="191" t="s">
        <v>217</v>
      </c>
      <c r="Q27" s="130"/>
      <c r="R27" s="130"/>
      <c r="S27" s="130"/>
    </row>
    <row r="28" spans="1:19" s="75" customFormat="1" ht="24.9">
      <c r="A28" s="188" t="s">
        <v>208</v>
      </c>
      <c r="B28" s="147" t="s">
        <v>209</v>
      </c>
      <c r="C28" s="144" t="s">
        <v>218</v>
      </c>
      <c r="D28" s="148" t="s">
        <v>219</v>
      </c>
      <c r="E28" s="179"/>
      <c r="F28" s="93"/>
      <c r="G28" s="41"/>
      <c r="H28" s="94"/>
      <c r="I28" s="94" t="b">
        <f>EXACT(C28,O28)</f>
        <v>1</v>
      </c>
      <c r="J28" s="94" t="b">
        <f>EXACT(D28,P28)</f>
        <v>1</v>
      </c>
      <c r="K28" s="94" t="s">
        <v>1568</v>
      </c>
      <c r="L28" s="94"/>
      <c r="M28" s="160" t="s">
        <v>208</v>
      </c>
      <c r="N28" s="160" t="s">
        <v>209</v>
      </c>
      <c r="O28" s="159" t="s">
        <v>218</v>
      </c>
      <c r="P28" s="191" t="s">
        <v>219</v>
      </c>
      <c r="Q28" s="130"/>
      <c r="R28" s="130"/>
      <c r="S28" s="130"/>
    </row>
    <row r="29" spans="1:19" s="75" customFormat="1" ht="24.9">
      <c r="A29" s="188" t="s">
        <v>208</v>
      </c>
      <c r="B29" s="147" t="s">
        <v>209</v>
      </c>
      <c r="C29" s="144" t="s">
        <v>220</v>
      </c>
      <c r="D29" s="148" t="s">
        <v>221</v>
      </c>
      <c r="E29" s="179"/>
      <c r="F29" s="93"/>
      <c r="G29" s="41"/>
      <c r="H29" s="94"/>
      <c r="I29" s="94" t="b">
        <f>EXACT(C29,O29)</f>
        <v>1</v>
      </c>
      <c r="J29" s="94" t="b">
        <f>EXACT(D29,P29)</f>
        <v>1</v>
      </c>
      <c r="K29" s="94" t="s">
        <v>1568</v>
      </c>
      <c r="L29" s="94"/>
      <c r="M29" s="160" t="s">
        <v>208</v>
      </c>
      <c r="N29" s="160" t="s">
        <v>209</v>
      </c>
      <c r="O29" s="159" t="s">
        <v>220</v>
      </c>
      <c r="P29" s="191" t="s">
        <v>221</v>
      </c>
      <c r="Q29" s="130"/>
      <c r="R29" s="130"/>
      <c r="S29" s="130"/>
    </row>
    <row r="30" spans="1:19" s="75" customFormat="1" ht="24.9">
      <c r="A30" s="188" t="s">
        <v>208</v>
      </c>
      <c r="B30" s="147" t="s">
        <v>209</v>
      </c>
      <c r="C30" s="144" t="s">
        <v>222</v>
      </c>
      <c r="D30" s="145" t="s">
        <v>223</v>
      </c>
      <c r="E30" s="97"/>
      <c r="F30" s="94"/>
      <c r="G30" s="94"/>
      <c r="H30" s="94"/>
      <c r="I30" s="94" t="b">
        <f>EXACT(C30,O30)</f>
        <v>1</v>
      </c>
      <c r="J30" s="94" t="b">
        <f>EXACT(D30,P30)</f>
        <v>1</v>
      </c>
      <c r="K30" s="94" t="s">
        <v>1568</v>
      </c>
      <c r="L30" s="94"/>
      <c r="M30" s="160" t="s">
        <v>208</v>
      </c>
      <c r="N30" s="160" t="s">
        <v>209</v>
      </c>
      <c r="O30" s="159" t="s">
        <v>222</v>
      </c>
      <c r="P30" s="189" t="s">
        <v>223</v>
      </c>
      <c r="Q30" s="130"/>
      <c r="R30" s="130"/>
      <c r="S30" s="130"/>
    </row>
    <row r="31" spans="1:19" s="75" customFormat="1" ht="14.6">
      <c r="A31" s="188" t="s">
        <v>208</v>
      </c>
      <c r="B31" s="147" t="s">
        <v>209</v>
      </c>
      <c r="C31" s="144" t="s">
        <v>224</v>
      </c>
      <c r="D31" s="145" t="s">
        <v>225</v>
      </c>
      <c r="E31" s="41"/>
      <c r="F31" s="93"/>
      <c r="G31" s="41"/>
      <c r="H31" s="76"/>
      <c r="I31" s="94" t="b">
        <f>EXACT(C31,O31)</f>
        <v>1</v>
      </c>
      <c r="J31" s="94" t="b">
        <f>EXACT(D31,P31)</f>
        <v>1</v>
      </c>
      <c r="K31" s="94" t="s">
        <v>1568</v>
      </c>
      <c r="L31" s="94"/>
      <c r="M31" s="160" t="s">
        <v>208</v>
      </c>
      <c r="N31" s="160" t="s">
        <v>209</v>
      </c>
      <c r="O31" s="159" t="s">
        <v>224</v>
      </c>
      <c r="P31" s="189" t="s">
        <v>225</v>
      </c>
      <c r="Q31" s="130"/>
      <c r="R31" s="130"/>
      <c r="S31" s="130"/>
    </row>
    <row r="32" spans="1:19" s="75" customFormat="1" ht="37.299999999999997">
      <c r="A32" s="188" t="s">
        <v>208</v>
      </c>
      <c r="B32" s="147" t="s">
        <v>209</v>
      </c>
      <c r="C32" s="144" t="s">
        <v>226</v>
      </c>
      <c r="D32" s="145" t="s">
        <v>227</v>
      </c>
      <c r="E32" s="41"/>
      <c r="F32" s="93"/>
      <c r="G32" s="41"/>
      <c r="H32" s="98"/>
      <c r="I32" s="94" t="b">
        <f>EXACT(C32,O32)</f>
        <v>1</v>
      </c>
      <c r="J32" s="94" t="b">
        <f>EXACT(D32,P32)</f>
        <v>1</v>
      </c>
      <c r="K32" s="94" t="s">
        <v>1568</v>
      </c>
      <c r="L32" s="94"/>
      <c r="M32" s="160" t="s">
        <v>208</v>
      </c>
      <c r="N32" s="160" t="s">
        <v>209</v>
      </c>
      <c r="O32" s="159" t="s">
        <v>226</v>
      </c>
      <c r="P32" s="189" t="s">
        <v>227</v>
      </c>
      <c r="Q32" s="130"/>
      <c r="R32" s="130"/>
      <c r="S32" s="130"/>
    </row>
    <row r="33" spans="1:19" s="75" customFormat="1" ht="24.9">
      <c r="A33" s="188" t="s">
        <v>208</v>
      </c>
      <c r="B33" s="147" t="s">
        <v>209</v>
      </c>
      <c r="C33" s="144" t="s">
        <v>228</v>
      </c>
      <c r="D33" s="145" t="s">
        <v>229</v>
      </c>
      <c r="E33" s="41"/>
      <c r="F33" s="93"/>
      <c r="G33" s="41"/>
      <c r="H33" s="98"/>
      <c r="I33" s="94" t="b">
        <f>EXACT(C33,O33)</f>
        <v>1</v>
      </c>
      <c r="J33" s="94" t="b">
        <f>EXACT(D33,P33)</f>
        <v>1</v>
      </c>
      <c r="K33" s="94" t="s">
        <v>1568</v>
      </c>
      <c r="L33" s="94"/>
      <c r="M33" s="160" t="s">
        <v>208</v>
      </c>
      <c r="N33" s="160" t="s">
        <v>209</v>
      </c>
      <c r="O33" s="159" t="s">
        <v>228</v>
      </c>
      <c r="P33" s="189" t="s">
        <v>229</v>
      </c>
      <c r="Q33" s="130"/>
      <c r="R33" s="130"/>
      <c r="S33" s="130"/>
    </row>
    <row r="34" spans="1:19" s="75" customFormat="1" ht="14.6">
      <c r="A34" s="188" t="s">
        <v>208</v>
      </c>
      <c r="B34" s="147" t="s">
        <v>209</v>
      </c>
      <c r="C34" s="144" t="s">
        <v>230</v>
      </c>
      <c r="D34" s="145" t="s">
        <v>231</v>
      </c>
      <c r="E34" s="97"/>
      <c r="F34" s="94"/>
      <c r="G34" s="94"/>
      <c r="H34" s="94"/>
      <c r="I34" s="94" t="b">
        <f>EXACT(C34,O34)</f>
        <v>1</v>
      </c>
      <c r="J34" s="94" t="b">
        <f>EXACT(D34,P34)</f>
        <v>1</v>
      </c>
      <c r="K34" s="94" t="s">
        <v>1568</v>
      </c>
      <c r="L34" s="94"/>
      <c r="M34" s="160" t="s">
        <v>208</v>
      </c>
      <c r="N34" s="160" t="s">
        <v>209</v>
      </c>
      <c r="O34" s="159" t="s">
        <v>230</v>
      </c>
      <c r="P34" s="189" t="s">
        <v>231</v>
      </c>
      <c r="Q34" s="130"/>
      <c r="R34" s="130"/>
      <c r="S34" s="130"/>
    </row>
    <row r="35" spans="1:19" s="75" customFormat="1" ht="14.6">
      <c r="A35" s="188" t="s">
        <v>208</v>
      </c>
      <c r="B35" s="147" t="s">
        <v>209</v>
      </c>
      <c r="C35" s="144" t="s">
        <v>232</v>
      </c>
      <c r="D35" s="145" t="s">
        <v>233</v>
      </c>
      <c r="E35" s="97"/>
      <c r="F35" s="94"/>
      <c r="G35" s="94"/>
      <c r="H35" s="94"/>
      <c r="I35" s="94" t="b">
        <f>EXACT(C35,O35)</f>
        <v>1</v>
      </c>
      <c r="J35" s="94" t="b">
        <f>EXACT(D35,P35)</f>
        <v>1</v>
      </c>
      <c r="K35" s="94" t="s">
        <v>1568</v>
      </c>
      <c r="L35" s="94"/>
      <c r="M35" s="160" t="s">
        <v>208</v>
      </c>
      <c r="N35" s="160" t="s">
        <v>209</v>
      </c>
      <c r="O35" s="159" t="s">
        <v>232</v>
      </c>
      <c r="P35" s="189" t="s">
        <v>233</v>
      </c>
      <c r="Q35" s="130"/>
      <c r="R35" s="130"/>
      <c r="S35" s="130"/>
    </row>
    <row r="36" spans="1:19" s="75" customFormat="1" ht="37.299999999999997">
      <c r="A36" s="188" t="s">
        <v>208</v>
      </c>
      <c r="B36" s="147" t="s">
        <v>209</v>
      </c>
      <c r="C36" s="144" t="s">
        <v>234</v>
      </c>
      <c r="D36" s="145" t="s">
        <v>235</v>
      </c>
      <c r="E36" s="97"/>
      <c r="F36" s="94"/>
      <c r="G36" s="94"/>
      <c r="H36" s="94"/>
      <c r="I36" s="94" t="b">
        <f>EXACT(C36,O36)</f>
        <v>1</v>
      </c>
      <c r="J36" s="94" t="b">
        <f>EXACT(D36,P36)</f>
        <v>1</v>
      </c>
      <c r="K36" s="94" t="s">
        <v>1568</v>
      </c>
      <c r="L36" s="94"/>
      <c r="M36" s="160" t="s">
        <v>208</v>
      </c>
      <c r="N36" s="160" t="s">
        <v>209</v>
      </c>
      <c r="O36" s="159" t="s">
        <v>234</v>
      </c>
      <c r="P36" s="189" t="s">
        <v>235</v>
      </c>
      <c r="Q36" s="130"/>
      <c r="R36" s="130"/>
      <c r="S36" s="130"/>
    </row>
    <row r="37" spans="1:19" s="75" customFormat="1" ht="24.9">
      <c r="A37" s="188" t="s">
        <v>208</v>
      </c>
      <c r="B37" s="147" t="s">
        <v>69</v>
      </c>
      <c r="C37" s="144" t="s">
        <v>303</v>
      </c>
      <c r="D37" s="145" t="s">
        <v>304</v>
      </c>
      <c r="E37" s="97"/>
      <c r="F37" s="94"/>
      <c r="G37" s="94"/>
      <c r="H37" s="94"/>
      <c r="I37" s="94" t="b">
        <f>EXACT(C37,O37)</f>
        <v>1</v>
      </c>
      <c r="J37" s="94" t="b">
        <f>EXACT(D37,P37)</f>
        <v>1</v>
      </c>
      <c r="K37" s="94" t="s">
        <v>1568</v>
      </c>
      <c r="L37" s="94"/>
      <c r="M37" s="160" t="s">
        <v>208</v>
      </c>
      <c r="N37" s="160" t="s">
        <v>69</v>
      </c>
      <c r="O37" s="159" t="s">
        <v>303</v>
      </c>
      <c r="P37" s="189" t="s">
        <v>304</v>
      </c>
      <c r="Q37" s="130"/>
      <c r="R37" s="130"/>
      <c r="S37" s="130"/>
    </row>
    <row r="38" spans="1:19" s="75" customFormat="1" ht="49.75">
      <c r="A38" s="188" t="s">
        <v>208</v>
      </c>
      <c r="B38" s="147" t="s">
        <v>209</v>
      </c>
      <c r="C38" s="144" t="s">
        <v>236</v>
      </c>
      <c r="D38" s="145" t="s">
        <v>237</v>
      </c>
      <c r="E38" s="97"/>
      <c r="F38" s="94"/>
      <c r="G38" s="94"/>
      <c r="H38" s="94"/>
      <c r="I38" s="94" t="b">
        <f>EXACT(C38,O38)</f>
        <v>1</v>
      </c>
      <c r="J38" s="94" t="b">
        <f>EXACT(D38,P38)</f>
        <v>1</v>
      </c>
      <c r="K38" s="94" t="s">
        <v>1568</v>
      </c>
      <c r="L38" s="94"/>
      <c r="M38" s="160" t="s">
        <v>208</v>
      </c>
      <c r="N38" s="160" t="s">
        <v>209</v>
      </c>
      <c r="O38" s="159" t="s">
        <v>236</v>
      </c>
      <c r="P38" s="189" t="s">
        <v>237</v>
      </c>
      <c r="Q38" s="130"/>
      <c r="R38" s="130"/>
      <c r="S38" s="130"/>
    </row>
    <row r="39" spans="1:19" s="75" customFormat="1" ht="49.75">
      <c r="A39" s="188" t="s">
        <v>208</v>
      </c>
      <c r="B39" s="147" t="s">
        <v>209</v>
      </c>
      <c r="C39" s="144" t="s">
        <v>238</v>
      </c>
      <c r="D39" s="145" t="s">
        <v>239</v>
      </c>
      <c r="E39" s="97"/>
      <c r="F39" s="94"/>
      <c r="G39" s="94"/>
      <c r="H39" s="94"/>
      <c r="I39" s="94" t="b">
        <f>EXACT(C39,O39)</f>
        <v>1</v>
      </c>
      <c r="J39" s="94" t="b">
        <f>EXACT(D39,P39)</f>
        <v>1</v>
      </c>
      <c r="K39" s="94" t="s">
        <v>1568</v>
      </c>
      <c r="L39" s="94"/>
      <c r="M39" s="160" t="s">
        <v>208</v>
      </c>
      <c r="N39" s="160" t="s">
        <v>209</v>
      </c>
      <c r="O39" s="159" t="s">
        <v>238</v>
      </c>
      <c r="P39" s="189" t="s">
        <v>239</v>
      </c>
      <c r="Q39" s="130"/>
      <c r="R39" s="130"/>
      <c r="S39" s="130"/>
    </row>
    <row r="40" spans="1:19" s="75" customFormat="1" ht="49.75">
      <c r="A40" s="188" t="s">
        <v>208</v>
      </c>
      <c r="B40" s="147" t="s">
        <v>209</v>
      </c>
      <c r="C40" s="144" t="s">
        <v>240</v>
      </c>
      <c r="D40" s="145" t="s">
        <v>241</v>
      </c>
      <c r="E40" s="97"/>
      <c r="F40" s="94"/>
      <c r="G40" s="94"/>
      <c r="H40" s="94"/>
      <c r="I40" s="94" t="b">
        <f>EXACT(C40,O40)</f>
        <v>1</v>
      </c>
      <c r="J40" s="94" t="b">
        <f>EXACT(D40,P40)</f>
        <v>1</v>
      </c>
      <c r="K40" s="94" t="s">
        <v>1568</v>
      </c>
      <c r="L40" s="94"/>
      <c r="M40" s="160" t="s">
        <v>208</v>
      </c>
      <c r="N40" s="160" t="s">
        <v>209</v>
      </c>
      <c r="O40" s="159" t="s">
        <v>240</v>
      </c>
      <c r="P40" s="189" t="s">
        <v>241</v>
      </c>
      <c r="Q40" s="130"/>
      <c r="R40" s="130"/>
      <c r="S40" s="130"/>
    </row>
    <row r="41" spans="1:19" s="75" customFormat="1" ht="24.9">
      <c r="A41" s="188" t="s">
        <v>208</v>
      </c>
      <c r="B41" s="147" t="s">
        <v>209</v>
      </c>
      <c r="C41" s="144" t="s">
        <v>242</v>
      </c>
      <c r="D41" s="145" t="s">
        <v>243</v>
      </c>
      <c r="E41" s="97"/>
      <c r="F41" s="94"/>
      <c r="G41" s="94"/>
      <c r="H41" s="94"/>
      <c r="I41" s="94" t="b">
        <f>EXACT(C41,O41)</f>
        <v>1</v>
      </c>
      <c r="J41" s="94" t="b">
        <f>EXACT(D41,P41)</f>
        <v>1</v>
      </c>
      <c r="K41" s="94" t="s">
        <v>1568</v>
      </c>
      <c r="L41" s="94"/>
      <c r="M41" s="160" t="s">
        <v>208</v>
      </c>
      <c r="N41" s="160" t="s">
        <v>209</v>
      </c>
      <c r="O41" s="159" t="s">
        <v>242</v>
      </c>
      <c r="P41" s="189" t="s">
        <v>243</v>
      </c>
      <c r="Q41" s="130"/>
      <c r="R41" s="130"/>
      <c r="S41" s="130"/>
    </row>
    <row r="42" spans="1:19" s="75" customFormat="1" ht="49.75">
      <c r="A42" s="188" t="s">
        <v>208</v>
      </c>
      <c r="B42" s="147" t="s">
        <v>209</v>
      </c>
      <c r="C42" s="144" t="s">
        <v>244</v>
      </c>
      <c r="D42" s="145" t="s">
        <v>245</v>
      </c>
      <c r="E42" s="97"/>
      <c r="F42" s="94"/>
      <c r="G42" s="94"/>
      <c r="H42" s="94"/>
      <c r="I42" s="94" t="b">
        <f>EXACT(C42,O42)</f>
        <v>1</v>
      </c>
      <c r="J42" s="94" t="b">
        <f>EXACT(D42,P42)</f>
        <v>1</v>
      </c>
      <c r="K42" s="94" t="s">
        <v>1568</v>
      </c>
      <c r="L42" s="94"/>
      <c r="M42" s="160" t="s">
        <v>208</v>
      </c>
      <c r="N42" s="160" t="s">
        <v>209</v>
      </c>
      <c r="O42" s="159" t="s">
        <v>244</v>
      </c>
      <c r="P42" s="189" t="s">
        <v>245</v>
      </c>
      <c r="Q42" s="130"/>
      <c r="R42" s="130"/>
      <c r="S42" s="130"/>
    </row>
    <row r="43" spans="1:19" s="75" customFormat="1" ht="37.299999999999997">
      <c r="A43" s="188" t="s">
        <v>208</v>
      </c>
      <c r="B43" s="147" t="s">
        <v>209</v>
      </c>
      <c r="C43" s="144" t="s">
        <v>246</v>
      </c>
      <c r="D43" s="146" t="s">
        <v>247</v>
      </c>
      <c r="E43" s="97"/>
      <c r="F43" s="94"/>
      <c r="G43" s="94"/>
      <c r="H43" s="94"/>
      <c r="I43" s="94" t="b">
        <f>EXACT(C43,O43)</f>
        <v>1</v>
      </c>
      <c r="J43" s="94" t="b">
        <f>EXACT(D43,P43)</f>
        <v>1</v>
      </c>
      <c r="K43" s="94" t="s">
        <v>1568</v>
      </c>
      <c r="L43" s="94"/>
      <c r="M43" s="160" t="s">
        <v>208</v>
      </c>
      <c r="N43" s="160" t="s">
        <v>209</v>
      </c>
      <c r="O43" s="159" t="s">
        <v>246</v>
      </c>
      <c r="P43" s="190" t="s">
        <v>247</v>
      </c>
      <c r="Q43" s="130"/>
      <c r="R43" s="130"/>
      <c r="S43" s="130"/>
    </row>
    <row r="44" spans="1:19" s="75" customFormat="1" ht="37.299999999999997">
      <c r="A44" s="188" t="s">
        <v>208</v>
      </c>
      <c r="B44" s="147" t="s">
        <v>209</v>
      </c>
      <c r="C44" s="144" t="s">
        <v>248</v>
      </c>
      <c r="D44" s="146" t="s">
        <v>249</v>
      </c>
      <c r="E44" s="97"/>
      <c r="F44" s="94"/>
      <c r="G44" s="94"/>
      <c r="H44" s="94"/>
      <c r="I44" s="94" t="b">
        <f>EXACT(C44,O44)</f>
        <v>1</v>
      </c>
      <c r="J44" s="94" t="b">
        <f>EXACT(D44,P44)</f>
        <v>1</v>
      </c>
      <c r="K44" s="94" t="s">
        <v>1568</v>
      </c>
      <c r="L44" s="94"/>
      <c r="M44" s="160" t="s">
        <v>208</v>
      </c>
      <c r="N44" s="160" t="s">
        <v>209</v>
      </c>
      <c r="O44" s="159" t="s">
        <v>248</v>
      </c>
      <c r="P44" s="190" t="s">
        <v>249</v>
      </c>
      <c r="Q44" s="130"/>
      <c r="R44" s="130"/>
      <c r="S44" s="130"/>
    </row>
    <row r="45" spans="1:19" s="75" customFormat="1" ht="62.15">
      <c r="A45" s="188" t="s">
        <v>208</v>
      </c>
      <c r="B45" s="147" t="s">
        <v>209</v>
      </c>
      <c r="C45" s="144" t="s">
        <v>250</v>
      </c>
      <c r="D45" s="146" t="s">
        <v>251</v>
      </c>
      <c r="E45" s="97"/>
      <c r="F45" s="94"/>
      <c r="G45" s="94"/>
      <c r="H45" s="94"/>
      <c r="I45" s="94" t="b">
        <f>EXACT(C45,O45)</f>
        <v>1</v>
      </c>
      <c r="J45" s="94" t="b">
        <f>EXACT(D45,P45)</f>
        <v>1</v>
      </c>
      <c r="K45" s="94" t="s">
        <v>1568</v>
      </c>
      <c r="L45" s="94"/>
      <c r="M45" s="160" t="s">
        <v>208</v>
      </c>
      <c r="N45" s="160" t="s">
        <v>209</v>
      </c>
      <c r="O45" s="159" t="s">
        <v>250</v>
      </c>
      <c r="P45" s="190" t="s">
        <v>251</v>
      </c>
      <c r="Q45" s="130"/>
      <c r="R45" s="130"/>
      <c r="S45" s="130"/>
    </row>
    <row r="46" spans="1:19" s="75" customFormat="1" ht="62.15">
      <c r="A46" s="188" t="s">
        <v>208</v>
      </c>
      <c r="B46" s="147" t="s">
        <v>209</v>
      </c>
      <c r="C46" s="144" t="s">
        <v>252</v>
      </c>
      <c r="D46" s="146" t="s">
        <v>253</v>
      </c>
      <c r="E46" s="97"/>
      <c r="F46" s="94"/>
      <c r="G46" s="94"/>
      <c r="H46" s="94"/>
      <c r="I46" s="94" t="b">
        <f>EXACT(C46,O46)</f>
        <v>1</v>
      </c>
      <c r="J46" s="94" t="b">
        <f>EXACT(D46,P46)</f>
        <v>1</v>
      </c>
      <c r="K46" s="94" t="s">
        <v>1568</v>
      </c>
      <c r="L46" s="94"/>
      <c r="M46" s="160" t="s">
        <v>208</v>
      </c>
      <c r="N46" s="160" t="s">
        <v>209</v>
      </c>
      <c r="O46" s="159" t="s">
        <v>252</v>
      </c>
      <c r="P46" s="190" t="s">
        <v>253</v>
      </c>
      <c r="Q46" s="130"/>
      <c r="R46" s="130"/>
      <c r="S46" s="130"/>
    </row>
    <row r="47" spans="1:19" s="75" customFormat="1" ht="62.15">
      <c r="A47" s="188" t="s">
        <v>208</v>
      </c>
      <c r="B47" s="147" t="s">
        <v>209</v>
      </c>
      <c r="C47" s="144" t="s">
        <v>254</v>
      </c>
      <c r="D47" s="146" t="s">
        <v>255</v>
      </c>
      <c r="E47" s="97"/>
      <c r="F47" s="94"/>
      <c r="G47" s="94"/>
      <c r="H47" s="94"/>
      <c r="I47" s="94" t="b">
        <f>EXACT(C47,O47)</f>
        <v>1</v>
      </c>
      <c r="J47" s="94" t="b">
        <f>EXACT(D47,P47)</f>
        <v>1</v>
      </c>
      <c r="K47" s="94" t="s">
        <v>1568</v>
      </c>
      <c r="L47" s="94"/>
      <c r="M47" s="160" t="s">
        <v>208</v>
      </c>
      <c r="N47" s="160" t="s">
        <v>209</v>
      </c>
      <c r="O47" s="159" t="s">
        <v>254</v>
      </c>
      <c r="P47" s="190" t="s">
        <v>255</v>
      </c>
      <c r="Q47" s="130"/>
      <c r="R47" s="130"/>
      <c r="S47" s="130"/>
    </row>
    <row r="48" spans="1:19" s="75" customFormat="1" ht="62.15">
      <c r="A48" s="188" t="s">
        <v>208</v>
      </c>
      <c r="B48" s="147" t="s">
        <v>209</v>
      </c>
      <c r="C48" s="144" t="s">
        <v>256</v>
      </c>
      <c r="D48" s="146" t="s">
        <v>257</v>
      </c>
      <c r="E48" s="97"/>
      <c r="F48" s="94"/>
      <c r="G48" s="94"/>
      <c r="H48" s="94"/>
      <c r="I48" s="94" t="b">
        <f>EXACT(C48,O48)</f>
        <v>1</v>
      </c>
      <c r="J48" s="94" t="b">
        <f>EXACT(D48,P48)</f>
        <v>1</v>
      </c>
      <c r="K48" s="94" t="s">
        <v>1568</v>
      </c>
      <c r="L48" s="94"/>
      <c r="M48" s="160" t="s">
        <v>208</v>
      </c>
      <c r="N48" s="160" t="s">
        <v>209</v>
      </c>
      <c r="O48" s="159" t="s">
        <v>256</v>
      </c>
      <c r="P48" s="190" t="s">
        <v>257</v>
      </c>
      <c r="Q48" s="130"/>
      <c r="R48" s="130"/>
      <c r="S48" s="130"/>
    </row>
    <row r="49" spans="1:19" s="75" customFormat="1" ht="62.15">
      <c r="A49" s="188" t="s">
        <v>208</v>
      </c>
      <c r="B49" s="147" t="s">
        <v>209</v>
      </c>
      <c r="C49" s="144" t="s">
        <v>258</v>
      </c>
      <c r="D49" s="146" t="s">
        <v>259</v>
      </c>
      <c r="E49" s="97"/>
      <c r="F49" s="94"/>
      <c r="G49" s="94"/>
      <c r="H49" s="94"/>
      <c r="I49" s="94" t="b">
        <f>EXACT(C49,O49)</f>
        <v>1</v>
      </c>
      <c r="J49" s="94" t="b">
        <f>EXACT(D49,P49)</f>
        <v>1</v>
      </c>
      <c r="K49" s="94" t="s">
        <v>1568</v>
      </c>
      <c r="L49" s="94"/>
      <c r="M49" s="160" t="s">
        <v>208</v>
      </c>
      <c r="N49" s="160" t="s">
        <v>209</v>
      </c>
      <c r="O49" s="159" t="s">
        <v>258</v>
      </c>
      <c r="P49" s="190" t="s">
        <v>259</v>
      </c>
      <c r="Q49" s="130"/>
      <c r="R49" s="130"/>
      <c r="S49" s="130"/>
    </row>
    <row r="50" spans="1:19" s="75" customFormat="1" ht="62.15">
      <c r="A50" s="188" t="s">
        <v>958</v>
      </c>
      <c r="B50" s="147" t="s">
        <v>989</v>
      </c>
      <c r="C50" s="144" t="s">
        <v>990</v>
      </c>
      <c r="D50" s="146" t="s">
        <v>991</v>
      </c>
      <c r="E50" s="97"/>
      <c r="F50" s="94"/>
      <c r="G50" s="94"/>
      <c r="H50" s="94"/>
      <c r="I50" s="94" t="b">
        <f>EXACT(C50,O50)</f>
        <v>1</v>
      </c>
      <c r="J50" s="94" t="b">
        <f>EXACT(D50,P50)</f>
        <v>1</v>
      </c>
      <c r="K50" s="94" t="s">
        <v>1568</v>
      </c>
      <c r="L50" s="94"/>
      <c r="M50" s="160" t="s">
        <v>958</v>
      </c>
      <c r="N50" s="160" t="s">
        <v>1511</v>
      </c>
      <c r="O50" s="159" t="s">
        <v>990</v>
      </c>
      <c r="P50" s="190" t="s">
        <v>991</v>
      </c>
      <c r="Q50" s="130"/>
      <c r="R50" s="130"/>
      <c r="S50" s="130"/>
    </row>
    <row r="51" spans="1:19" s="75" customFormat="1" ht="62.15">
      <c r="A51" s="188" t="s">
        <v>958</v>
      </c>
      <c r="B51" s="147" t="s">
        <v>989</v>
      </c>
      <c r="C51" s="144" t="s">
        <v>992</v>
      </c>
      <c r="D51" s="146" t="s">
        <v>993</v>
      </c>
      <c r="E51" s="97"/>
      <c r="F51" s="94"/>
      <c r="G51" s="94"/>
      <c r="H51" s="94"/>
      <c r="I51" s="94" t="b">
        <f>EXACT(C51,O51)</f>
        <v>1</v>
      </c>
      <c r="J51" s="94" t="b">
        <f>EXACT(D51,P51)</f>
        <v>1</v>
      </c>
      <c r="K51" s="94" t="s">
        <v>1568</v>
      </c>
      <c r="L51" s="94"/>
      <c r="M51" s="160" t="s">
        <v>958</v>
      </c>
      <c r="N51" s="160" t="s">
        <v>1511</v>
      </c>
      <c r="O51" s="159" t="s">
        <v>992</v>
      </c>
      <c r="P51" s="190" t="s">
        <v>993</v>
      </c>
      <c r="Q51" s="130"/>
      <c r="R51" s="130"/>
      <c r="S51" s="130"/>
    </row>
    <row r="52" spans="1:19" s="75" customFormat="1" ht="24.9">
      <c r="A52" s="188" t="s">
        <v>208</v>
      </c>
      <c r="B52" s="147" t="s">
        <v>209</v>
      </c>
      <c r="C52" s="144" t="s">
        <v>260</v>
      </c>
      <c r="D52" s="148" t="s">
        <v>261</v>
      </c>
      <c r="E52" s="179"/>
      <c r="F52" s="93"/>
      <c r="G52" s="41"/>
      <c r="H52" s="94"/>
      <c r="I52" s="94" t="b">
        <f>EXACT(C52,O52)</f>
        <v>1</v>
      </c>
      <c r="J52" s="94" t="b">
        <f>EXACT(D52,P52)</f>
        <v>1</v>
      </c>
      <c r="K52" s="94" t="s">
        <v>1568</v>
      </c>
      <c r="L52" s="94"/>
      <c r="M52" s="160" t="s">
        <v>208</v>
      </c>
      <c r="N52" s="160" t="s">
        <v>209</v>
      </c>
      <c r="O52" s="159" t="s">
        <v>260</v>
      </c>
      <c r="P52" s="191" t="s">
        <v>261</v>
      </c>
      <c r="Q52" s="130"/>
      <c r="R52" s="130"/>
      <c r="S52" s="130"/>
    </row>
    <row r="53" spans="1:19" s="75" customFormat="1" ht="14.6">
      <c r="A53" s="188" t="s">
        <v>208</v>
      </c>
      <c r="B53" s="147" t="s">
        <v>209</v>
      </c>
      <c r="C53" s="144" t="s">
        <v>262</v>
      </c>
      <c r="D53" s="145" t="s">
        <v>263</v>
      </c>
      <c r="E53" s="41"/>
      <c r="F53" s="93"/>
      <c r="G53" s="41"/>
      <c r="H53" s="76"/>
      <c r="I53" s="94" t="b">
        <f>EXACT(C53,O53)</f>
        <v>1</v>
      </c>
      <c r="J53" s="94" t="b">
        <f>EXACT(D53,P53)</f>
        <v>1</v>
      </c>
      <c r="K53" s="94" t="s">
        <v>1568</v>
      </c>
      <c r="L53" s="94"/>
      <c r="M53" s="160" t="s">
        <v>208</v>
      </c>
      <c r="N53" s="160" t="s">
        <v>209</v>
      </c>
      <c r="O53" s="159" t="s">
        <v>262</v>
      </c>
      <c r="P53" s="189" t="s">
        <v>263</v>
      </c>
      <c r="Q53" s="130"/>
      <c r="R53" s="130"/>
      <c r="S53" s="130"/>
    </row>
    <row r="54" spans="1:19" s="75" customFormat="1" ht="14.6">
      <c r="A54" s="188" t="s">
        <v>208</v>
      </c>
      <c r="B54" s="147" t="s">
        <v>209</v>
      </c>
      <c r="C54" s="144" t="s">
        <v>264</v>
      </c>
      <c r="D54" s="145" t="s">
        <v>265</v>
      </c>
      <c r="E54" s="41"/>
      <c r="F54" s="93"/>
      <c r="G54" s="41"/>
      <c r="H54" s="76"/>
      <c r="I54" s="94" t="b">
        <f>EXACT(C54,O54)</f>
        <v>1</v>
      </c>
      <c r="J54" s="94" t="b">
        <f>EXACT(D54,P54)</f>
        <v>1</v>
      </c>
      <c r="K54" s="94" t="s">
        <v>1568</v>
      </c>
      <c r="L54" s="94"/>
      <c r="M54" s="160" t="s">
        <v>208</v>
      </c>
      <c r="N54" s="160" t="s">
        <v>209</v>
      </c>
      <c r="O54" s="159" t="s">
        <v>264</v>
      </c>
      <c r="P54" s="189" t="s">
        <v>265</v>
      </c>
      <c r="Q54" s="130"/>
      <c r="R54" s="130"/>
      <c r="S54" s="130"/>
    </row>
    <row r="55" spans="1:19" s="75" customFormat="1" ht="14.6">
      <c r="A55" s="188" t="s">
        <v>305</v>
      </c>
      <c r="B55" s="147" t="s">
        <v>69</v>
      </c>
      <c r="C55" s="144" t="s">
        <v>313</v>
      </c>
      <c r="D55" s="145" t="s">
        <v>314</v>
      </c>
      <c r="E55" s="41"/>
      <c r="F55" s="93"/>
      <c r="G55" s="41"/>
      <c r="H55" s="76"/>
      <c r="I55" s="94" t="b">
        <f>EXACT(C55,O55)</f>
        <v>1</v>
      </c>
      <c r="J55" s="94" t="b">
        <f>EXACT(D55,P55)</f>
        <v>1</v>
      </c>
      <c r="K55" s="94" t="s">
        <v>1568</v>
      </c>
      <c r="L55" s="94"/>
      <c r="M55" s="160" t="s">
        <v>305</v>
      </c>
      <c r="N55" s="160" t="s">
        <v>69</v>
      </c>
      <c r="O55" s="159" t="s">
        <v>313</v>
      </c>
      <c r="P55" s="189" t="s">
        <v>314</v>
      </c>
      <c r="Q55" s="130"/>
      <c r="R55" s="130"/>
      <c r="S55" s="130"/>
    </row>
    <row r="56" spans="1:19" s="75" customFormat="1" ht="14.6">
      <c r="A56" s="188" t="s">
        <v>305</v>
      </c>
      <c r="B56" s="147" t="s">
        <v>69</v>
      </c>
      <c r="C56" s="144" t="s">
        <v>315</v>
      </c>
      <c r="D56" s="145" t="s">
        <v>316</v>
      </c>
      <c r="E56" s="41"/>
      <c r="F56" s="93"/>
      <c r="G56" s="41"/>
      <c r="H56" s="76"/>
      <c r="I56" s="94" t="b">
        <f>EXACT(C56,O56)</f>
        <v>1</v>
      </c>
      <c r="J56" s="94" t="b">
        <f>EXACT(D56,P56)</f>
        <v>1</v>
      </c>
      <c r="K56" s="94" t="s">
        <v>1568</v>
      </c>
      <c r="L56" s="94"/>
      <c r="M56" s="160" t="s">
        <v>305</v>
      </c>
      <c r="N56" s="160" t="s">
        <v>69</v>
      </c>
      <c r="O56" s="159" t="s">
        <v>315</v>
      </c>
      <c r="P56" s="189" t="s">
        <v>316</v>
      </c>
      <c r="Q56" s="130"/>
      <c r="R56" s="130"/>
      <c r="S56" s="130"/>
    </row>
    <row r="57" spans="1:19" s="75" customFormat="1" ht="49.75">
      <c r="A57" s="188" t="s">
        <v>305</v>
      </c>
      <c r="B57" s="147" t="s">
        <v>306</v>
      </c>
      <c r="C57" s="144" t="s">
        <v>307</v>
      </c>
      <c r="D57" s="145" t="s">
        <v>308</v>
      </c>
      <c r="E57" s="97"/>
      <c r="F57" s="94"/>
      <c r="G57" s="94" t="s">
        <v>309</v>
      </c>
      <c r="H57" s="94" t="s">
        <v>310</v>
      </c>
      <c r="I57" s="94" t="b">
        <f>EXACT(C57,O57)</f>
        <v>1</v>
      </c>
      <c r="J57" s="94" t="b">
        <f>EXACT(D57,P57)</f>
        <v>1</v>
      </c>
      <c r="K57" s="94" t="s">
        <v>1568</v>
      </c>
      <c r="L57" s="94"/>
      <c r="M57" s="160" t="s">
        <v>305</v>
      </c>
      <c r="N57" s="160" t="s">
        <v>306</v>
      </c>
      <c r="O57" s="159" t="s">
        <v>307</v>
      </c>
      <c r="P57" s="189" t="s">
        <v>308</v>
      </c>
      <c r="Q57" s="130"/>
      <c r="R57" s="130"/>
      <c r="S57" s="130"/>
    </row>
    <row r="58" spans="1:19" s="75" customFormat="1" ht="99.45">
      <c r="A58" s="188" t="s">
        <v>305</v>
      </c>
      <c r="B58" s="147" t="s">
        <v>306</v>
      </c>
      <c r="C58" s="144" t="s">
        <v>311</v>
      </c>
      <c r="D58" s="149" t="s">
        <v>312</v>
      </c>
      <c r="E58" s="41"/>
      <c r="F58" s="96"/>
      <c r="G58" s="41"/>
      <c r="H58" s="76"/>
      <c r="I58" s="94" t="b">
        <f>EXACT(C58,O58)</f>
        <v>1</v>
      </c>
      <c r="J58" s="94" t="b">
        <f>EXACT(D58,P58)</f>
        <v>1</v>
      </c>
      <c r="K58" s="94" t="s">
        <v>1568</v>
      </c>
      <c r="L58" s="94"/>
      <c r="M58" s="160" t="s">
        <v>305</v>
      </c>
      <c r="N58" s="160" t="s">
        <v>306</v>
      </c>
      <c r="O58" s="159" t="s">
        <v>311</v>
      </c>
      <c r="P58" s="192" t="s">
        <v>312</v>
      </c>
      <c r="Q58" s="130"/>
      <c r="R58" s="130"/>
      <c r="S58" s="130"/>
    </row>
    <row r="59" spans="1:19" s="75" customFormat="1" ht="409.6">
      <c r="A59" s="188" t="s">
        <v>317</v>
      </c>
      <c r="B59" s="147" t="s">
        <v>372</v>
      </c>
      <c r="C59" s="144" t="s">
        <v>373</v>
      </c>
      <c r="D59" s="150" t="s">
        <v>374</v>
      </c>
      <c r="E59" s="41" t="s">
        <v>331</v>
      </c>
      <c r="F59" s="93"/>
      <c r="G59" s="41"/>
      <c r="H59" s="76"/>
      <c r="I59" s="94" t="b">
        <f>EXACT(C59,O59)</f>
        <v>0</v>
      </c>
      <c r="J59" s="94" t="b">
        <f>EXACT(D59,P59)</f>
        <v>0</v>
      </c>
      <c r="K59" s="94" t="s">
        <v>1570</v>
      </c>
      <c r="L59" s="94" t="s">
        <v>1581</v>
      </c>
      <c r="M59" s="160"/>
      <c r="N59" s="160"/>
      <c r="O59" s="159"/>
      <c r="P59" s="192"/>
      <c r="Q59" s="130"/>
      <c r="R59" s="130"/>
      <c r="S59" s="130"/>
    </row>
    <row r="60" spans="1:19" s="75" customFormat="1" ht="14.6">
      <c r="A60" s="188" t="s">
        <v>317</v>
      </c>
      <c r="B60" s="147" t="s">
        <v>381</v>
      </c>
      <c r="C60" s="144" t="s">
        <v>382</v>
      </c>
      <c r="D60" s="145" t="s">
        <v>383</v>
      </c>
      <c r="E60" s="41"/>
      <c r="F60" s="93"/>
      <c r="G60" s="41"/>
      <c r="H60" s="76"/>
      <c r="I60" s="94" t="b">
        <f>EXACT(C60,O60)</f>
        <v>1</v>
      </c>
      <c r="J60" s="94" t="b">
        <f>EXACT(D60,P60)</f>
        <v>1</v>
      </c>
      <c r="K60" s="94" t="s">
        <v>1568</v>
      </c>
      <c r="L60" s="94"/>
      <c r="M60" s="160" t="s">
        <v>317</v>
      </c>
      <c r="N60" s="160" t="s">
        <v>381</v>
      </c>
      <c r="O60" s="159" t="s">
        <v>382</v>
      </c>
      <c r="P60" s="189" t="s">
        <v>383</v>
      </c>
      <c r="Q60" s="130"/>
      <c r="R60" s="130"/>
      <c r="S60" s="130"/>
    </row>
    <row r="61" spans="1:19" s="75" customFormat="1" ht="14.6">
      <c r="A61" s="188" t="s">
        <v>317</v>
      </c>
      <c r="B61" s="147" t="s">
        <v>318</v>
      </c>
      <c r="C61" s="144" t="s">
        <v>319</v>
      </c>
      <c r="D61" s="145" t="s">
        <v>320</v>
      </c>
      <c r="E61" s="41"/>
      <c r="F61" s="93"/>
      <c r="G61" s="41"/>
      <c r="H61" s="76"/>
      <c r="I61" s="94" t="b">
        <f>EXACT(C61,O61)</f>
        <v>1</v>
      </c>
      <c r="J61" s="94" t="b">
        <f>EXACT(D61,P61)</f>
        <v>1</v>
      </c>
      <c r="K61" s="94" t="s">
        <v>1568</v>
      </c>
      <c r="L61" s="94"/>
      <c r="M61" s="160" t="s">
        <v>317</v>
      </c>
      <c r="N61" s="160" t="s">
        <v>381</v>
      </c>
      <c r="O61" s="159" t="s">
        <v>319</v>
      </c>
      <c r="P61" s="189" t="s">
        <v>320</v>
      </c>
      <c r="Q61" s="130"/>
      <c r="R61" s="130"/>
      <c r="S61" s="130"/>
    </row>
    <row r="62" spans="1:19" s="75" customFormat="1" ht="124.3">
      <c r="A62" s="188" t="s">
        <v>317</v>
      </c>
      <c r="B62" s="147" t="s">
        <v>372</v>
      </c>
      <c r="C62" s="144" t="s">
        <v>375</v>
      </c>
      <c r="D62" s="145" t="s">
        <v>376</v>
      </c>
      <c r="E62" s="97" t="s">
        <v>331</v>
      </c>
      <c r="F62" s="94"/>
      <c r="G62" s="94"/>
      <c r="H62" s="94"/>
      <c r="I62" s="94" t="b">
        <f>EXACT(C62,O62)</f>
        <v>0</v>
      </c>
      <c r="J62" s="94" t="b">
        <f>EXACT(D62,P62)</f>
        <v>0</v>
      </c>
      <c r="K62" s="94" t="s">
        <v>1570</v>
      </c>
      <c r="L62" s="94" t="s">
        <v>1581</v>
      </c>
      <c r="M62" s="160"/>
      <c r="N62" s="160"/>
      <c r="O62" s="159"/>
      <c r="P62" s="189"/>
      <c r="Q62" s="130"/>
      <c r="R62" s="130"/>
      <c r="S62" s="130"/>
    </row>
    <row r="63" spans="1:19" s="75" customFormat="1" ht="124.3">
      <c r="A63" s="188" t="s">
        <v>317</v>
      </c>
      <c r="B63" s="147" t="s">
        <v>372</v>
      </c>
      <c r="C63" s="144" t="s">
        <v>377</v>
      </c>
      <c r="D63" s="145" t="s">
        <v>378</v>
      </c>
      <c r="E63" s="97" t="s">
        <v>331</v>
      </c>
      <c r="F63" s="94"/>
      <c r="G63" s="94" t="s">
        <v>379</v>
      </c>
      <c r="H63" s="94" t="s">
        <v>380</v>
      </c>
      <c r="I63" s="94" t="b">
        <f>EXACT(C63,O63)</f>
        <v>0</v>
      </c>
      <c r="J63" s="94" t="b">
        <f>EXACT(D63,P63)</f>
        <v>0</v>
      </c>
      <c r="K63" s="94" t="s">
        <v>1570</v>
      </c>
      <c r="L63" s="94" t="s">
        <v>1581</v>
      </c>
      <c r="M63" s="160"/>
      <c r="N63" s="160"/>
      <c r="O63" s="159"/>
      <c r="P63" s="189"/>
      <c r="Q63" s="130"/>
      <c r="R63" s="130"/>
      <c r="S63" s="130"/>
    </row>
    <row r="64" spans="1:19" s="75" customFormat="1" ht="24.9">
      <c r="A64" s="188" t="s">
        <v>317</v>
      </c>
      <c r="B64" s="147" t="s">
        <v>381</v>
      </c>
      <c r="C64" s="144" t="s">
        <v>384</v>
      </c>
      <c r="D64" s="145" t="s">
        <v>385</v>
      </c>
      <c r="E64" s="41"/>
      <c r="F64" s="93"/>
      <c r="G64" s="41"/>
      <c r="H64" s="76"/>
      <c r="I64" s="94" t="b">
        <f>EXACT(C64,O64)</f>
        <v>1</v>
      </c>
      <c r="J64" s="94" t="b">
        <f>EXACT(D64,P64)</f>
        <v>1</v>
      </c>
      <c r="K64" s="94" t="s">
        <v>1568</v>
      </c>
      <c r="L64" s="94"/>
      <c r="M64" s="160" t="s">
        <v>317</v>
      </c>
      <c r="N64" s="160" t="s">
        <v>381</v>
      </c>
      <c r="O64" s="159" t="s">
        <v>384</v>
      </c>
      <c r="P64" s="189" t="s">
        <v>385</v>
      </c>
      <c r="Q64" s="130"/>
      <c r="R64" s="130"/>
      <c r="S64" s="130"/>
    </row>
    <row r="65" spans="1:19" s="75" customFormat="1" ht="24.9">
      <c r="A65" s="188" t="s">
        <v>317</v>
      </c>
      <c r="B65" s="147" t="s">
        <v>381</v>
      </c>
      <c r="C65" s="144" t="s">
        <v>386</v>
      </c>
      <c r="D65" s="145" t="s">
        <v>387</v>
      </c>
      <c r="E65" s="41"/>
      <c r="F65" s="93"/>
      <c r="G65" s="41"/>
      <c r="H65" s="76"/>
      <c r="I65" s="94" t="b">
        <f>EXACT(C65,O65)</f>
        <v>1</v>
      </c>
      <c r="J65" s="94" t="b">
        <f>EXACT(D65,P65)</f>
        <v>1</v>
      </c>
      <c r="K65" s="94" t="s">
        <v>1568</v>
      </c>
      <c r="L65" s="94"/>
      <c r="M65" s="160" t="s">
        <v>317</v>
      </c>
      <c r="N65" s="160" t="s">
        <v>381</v>
      </c>
      <c r="O65" s="159" t="s">
        <v>386</v>
      </c>
      <c r="P65" s="189" t="s">
        <v>387</v>
      </c>
      <c r="Q65" s="130"/>
      <c r="R65" s="130"/>
      <c r="S65" s="130"/>
    </row>
    <row r="66" spans="1:19" s="75" customFormat="1" ht="37.299999999999997">
      <c r="A66" s="188" t="s">
        <v>317</v>
      </c>
      <c r="B66" s="147" t="s">
        <v>318</v>
      </c>
      <c r="C66" s="144" t="s">
        <v>321</v>
      </c>
      <c r="D66" s="145" t="s">
        <v>322</v>
      </c>
      <c r="E66" s="97"/>
      <c r="F66" s="94"/>
      <c r="G66" s="94"/>
      <c r="H66" s="94"/>
      <c r="I66" s="94" t="b">
        <f>EXACT(C66,O66)</f>
        <v>0</v>
      </c>
      <c r="J66" s="94" t="b">
        <f>EXACT(D66,P66)</f>
        <v>0</v>
      </c>
      <c r="K66" s="94" t="s">
        <v>1570</v>
      </c>
      <c r="L66" s="94" t="s">
        <v>1581</v>
      </c>
      <c r="M66" s="160"/>
      <c r="N66" s="160"/>
      <c r="O66" s="159"/>
      <c r="P66" s="189"/>
      <c r="Q66" s="130"/>
      <c r="R66" s="130"/>
      <c r="S66" s="130"/>
    </row>
    <row r="67" spans="1:19" s="75" customFormat="1" ht="24.9">
      <c r="A67" s="188" t="s">
        <v>317</v>
      </c>
      <c r="B67" s="147" t="s">
        <v>318</v>
      </c>
      <c r="C67" s="144" t="s">
        <v>323</v>
      </c>
      <c r="D67" s="145" t="s">
        <v>324</v>
      </c>
      <c r="E67" s="97"/>
      <c r="F67" s="94"/>
      <c r="G67" s="94"/>
      <c r="H67" s="94"/>
      <c r="I67" s="94" t="b">
        <f>EXACT(C67,O67)</f>
        <v>1</v>
      </c>
      <c r="J67" s="94" t="b">
        <f>EXACT(D67,P67)</f>
        <v>1</v>
      </c>
      <c r="K67" s="94" t="s">
        <v>1568</v>
      </c>
      <c r="L67" s="94"/>
      <c r="M67" s="160" t="s">
        <v>317</v>
      </c>
      <c r="N67" s="160" t="s">
        <v>318</v>
      </c>
      <c r="O67" s="159" t="s">
        <v>323</v>
      </c>
      <c r="P67" s="189" t="s">
        <v>324</v>
      </c>
      <c r="Q67" s="130"/>
      <c r="R67" s="130"/>
      <c r="S67" s="130"/>
    </row>
    <row r="68" spans="1:19" s="75" customFormat="1" ht="14.6">
      <c r="A68" s="188" t="s">
        <v>317</v>
      </c>
      <c r="B68" s="147" t="s">
        <v>381</v>
      </c>
      <c r="C68" s="144" t="s">
        <v>388</v>
      </c>
      <c r="D68" s="145" t="s">
        <v>389</v>
      </c>
      <c r="E68" s="41"/>
      <c r="F68" s="93"/>
      <c r="G68" s="41"/>
      <c r="H68" s="76"/>
      <c r="I68" s="94" t="b">
        <f>EXACT(C68,O68)</f>
        <v>1</v>
      </c>
      <c r="J68" s="94" t="b">
        <f>EXACT(D68,P68)</f>
        <v>1</v>
      </c>
      <c r="K68" s="94" t="s">
        <v>1568</v>
      </c>
      <c r="L68" s="94"/>
      <c r="M68" s="160" t="s">
        <v>317</v>
      </c>
      <c r="N68" s="160" t="s">
        <v>381</v>
      </c>
      <c r="O68" s="159" t="s">
        <v>388</v>
      </c>
      <c r="P68" s="189" t="s">
        <v>389</v>
      </c>
      <c r="Q68" s="130"/>
      <c r="R68" s="130"/>
      <c r="S68" s="130"/>
    </row>
    <row r="69" spans="1:19" s="75" customFormat="1" ht="87">
      <c r="A69" s="188" t="s">
        <v>317</v>
      </c>
      <c r="B69" s="147" t="s">
        <v>318</v>
      </c>
      <c r="C69" s="144" t="s">
        <v>325</v>
      </c>
      <c r="D69" s="145" t="s">
        <v>326</v>
      </c>
      <c r="E69" s="97"/>
      <c r="F69" s="94"/>
      <c r="G69" s="94"/>
      <c r="H69" s="94"/>
      <c r="I69" s="94" t="b">
        <f>EXACT(C69,O69)</f>
        <v>1</v>
      </c>
      <c r="J69" s="94" t="b">
        <f>EXACT(D69,P69)</f>
        <v>1</v>
      </c>
      <c r="K69" s="94" t="s">
        <v>1568</v>
      </c>
      <c r="L69" s="94"/>
      <c r="M69" s="160" t="s">
        <v>317</v>
      </c>
      <c r="N69" s="160" t="s">
        <v>318</v>
      </c>
      <c r="O69" s="159" t="s">
        <v>325</v>
      </c>
      <c r="P69" s="189" t="s">
        <v>326</v>
      </c>
      <c r="Q69" s="130"/>
      <c r="R69" s="130"/>
      <c r="S69" s="130"/>
    </row>
    <row r="70" spans="1:19" s="75" customFormat="1" ht="62.15">
      <c r="A70" s="188" t="s">
        <v>317</v>
      </c>
      <c r="B70" s="147" t="s">
        <v>318</v>
      </c>
      <c r="C70" s="144" t="s">
        <v>327</v>
      </c>
      <c r="D70" s="145" t="s">
        <v>328</v>
      </c>
      <c r="E70" s="97"/>
      <c r="F70" s="94"/>
      <c r="G70" s="94"/>
      <c r="H70" s="94"/>
      <c r="I70" s="94" t="b">
        <f>EXACT(C70,O70)</f>
        <v>0</v>
      </c>
      <c r="J70" s="94" t="b">
        <f>EXACT(D70,P70)</f>
        <v>0</v>
      </c>
      <c r="K70" s="94" t="s">
        <v>1570</v>
      </c>
      <c r="L70" s="94" t="s">
        <v>1581</v>
      </c>
      <c r="M70" s="160"/>
      <c r="N70" s="160"/>
      <c r="O70" s="159"/>
      <c r="P70" s="189"/>
      <c r="Q70" s="130"/>
      <c r="R70" s="130"/>
      <c r="S70" s="130"/>
    </row>
    <row r="71" spans="1:19" s="75" customFormat="1" ht="37.299999999999997">
      <c r="A71" s="188" t="s">
        <v>317</v>
      </c>
      <c r="B71" s="147" t="s">
        <v>318</v>
      </c>
      <c r="C71" s="144" t="s">
        <v>329</v>
      </c>
      <c r="D71" s="145" t="s">
        <v>330</v>
      </c>
      <c r="E71" s="97" t="s">
        <v>331</v>
      </c>
      <c r="F71" s="93"/>
      <c r="G71" s="41"/>
      <c r="H71" s="76"/>
      <c r="I71" s="94" t="b">
        <f>EXACT(C71,O71)</f>
        <v>0</v>
      </c>
      <c r="J71" s="94" t="b">
        <f>EXACT(D71,P71)</f>
        <v>0</v>
      </c>
      <c r="K71" s="94" t="s">
        <v>1570</v>
      </c>
      <c r="L71" s="94" t="s">
        <v>1581</v>
      </c>
      <c r="M71" s="160"/>
      <c r="N71" s="160"/>
      <c r="O71" s="159"/>
      <c r="P71" s="189"/>
      <c r="Q71" s="130"/>
      <c r="R71" s="130"/>
      <c r="S71" s="130"/>
    </row>
    <row r="72" spans="1:19" s="75" customFormat="1" ht="37.299999999999997">
      <c r="A72" s="188" t="s">
        <v>317</v>
      </c>
      <c r="B72" s="147" t="s">
        <v>318</v>
      </c>
      <c r="C72" s="144" t="s">
        <v>332</v>
      </c>
      <c r="D72" s="145" t="s">
        <v>333</v>
      </c>
      <c r="E72" s="97" t="s">
        <v>331</v>
      </c>
      <c r="F72" s="93"/>
      <c r="G72" s="41"/>
      <c r="H72" s="76"/>
      <c r="I72" s="94" t="b">
        <f>EXACT(C72,O72)</f>
        <v>0</v>
      </c>
      <c r="J72" s="94" t="b">
        <f>EXACT(D72,P72)</f>
        <v>0</v>
      </c>
      <c r="K72" s="94" t="s">
        <v>1570</v>
      </c>
      <c r="L72" s="94" t="s">
        <v>1581</v>
      </c>
      <c r="M72" s="160"/>
      <c r="N72" s="160"/>
      <c r="O72" s="159"/>
      <c r="P72" s="189"/>
      <c r="Q72" s="130"/>
      <c r="R72" s="130"/>
      <c r="S72" s="130"/>
    </row>
    <row r="73" spans="1:19" s="75" customFormat="1" ht="37.299999999999997">
      <c r="A73" s="188" t="s">
        <v>317</v>
      </c>
      <c r="B73" s="147" t="s">
        <v>318</v>
      </c>
      <c r="C73" s="144" t="s">
        <v>334</v>
      </c>
      <c r="D73" s="145" t="s">
        <v>335</v>
      </c>
      <c r="E73" s="97" t="s">
        <v>331</v>
      </c>
      <c r="F73" s="93"/>
      <c r="G73" s="41"/>
      <c r="H73" s="76"/>
      <c r="I73" s="94" t="b">
        <f>EXACT(C73,O73)</f>
        <v>0</v>
      </c>
      <c r="J73" s="94" t="b">
        <f>EXACT(D73,P73)</f>
        <v>0</v>
      </c>
      <c r="K73" s="94" t="s">
        <v>1570</v>
      </c>
      <c r="L73" s="94" t="s">
        <v>1581</v>
      </c>
      <c r="M73" s="160"/>
      <c r="N73" s="160"/>
      <c r="O73" s="159"/>
      <c r="P73" s="189"/>
      <c r="Q73" s="130"/>
      <c r="R73" s="130"/>
      <c r="S73" s="130"/>
    </row>
    <row r="74" spans="1:19" s="75" customFormat="1" ht="37.299999999999997">
      <c r="A74" s="188" t="s">
        <v>317</v>
      </c>
      <c r="B74" s="147" t="s">
        <v>318</v>
      </c>
      <c r="C74" s="144" t="s">
        <v>336</v>
      </c>
      <c r="D74" s="145" t="s">
        <v>337</v>
      </c>
      <c r="E74" s="97" t="s">
        <v>331</v>
      </c>
      <c r="F74" s="93"/>
      <c r="G74" s="41"/>
      <c r="H74" s="76"/>
      <c r="I74" s="94" t="b">
        <f>EXACT(C74,O74)</f>
        <v>0</v>
      </c>
      <c r="J74" s="94" t="b">
        <f>EXACT(D74,P74)</f>
        <v>0</v>
      </c>
      <c r="K74" s="94" t="s">
        <v>1570</v>
      </c>
      <c r="L74" s="94" t="s">
        <v>1581</v>
      </c>
      <c r="M74" s="160"/>
      <c r="N74" s="160"/>
      <c r="O74" s="159"/>
      <c r="P74" s="189"/>
      <c r="Q74" s="130"/>
      <c r="R74" s="130"/>
      <c r="S74" s="130"/>
    </row>
    <row r="75" spans="1:19" s="75" customFormat="1" ht="74.599999999999994">
      <c r="A75" s="188" t="s">
        <v>317</v>
      </c>
      <c r="B75" s="147" t="s">
        <v>381</v>
      </c>
      <c r="C75" s="144" t="s">
        <v>390</v>
      </c>
      <c r="D75" s="145" t="s">
        <v>391</v>
      </c>
      <c r="E75" s="41"/>
      <c r="F75" s="93"/>
      <c r="G75" s="41"/>
      <c r="H75" s="76"/>
      <c r="I75" s="94" t="b">
        <f>EXACT(C75,O75)</f>
        <v>1</v>
      </c>
      <c r="J75" s="94" t="b">
        <f>EXACT(D75,P75)</f>
        <v>1</v>
      </c>
      <c r="K75" s="94" t="s">
        <v>1568</v>
      </c>
      <c r="L75" s="94"/>
      <c r="M75" s="160" t="s">
        <v>317</v>
      </c>
      <c r="N75" s="160" t="s">
        <v>381</v>
      </c>
      <c r="O75" s="159" t="s">
        <v>390</v>
      </c>
      <c r="P75" s="189" t="s">
        <v>391</v>
      </c>
      <c r="Q75" s="130"/>
      <c r="R75" s="130"/>
      <c r="S75" s="130"/>
    </row>
    <row r="76" spans="1:19" s="75" customFormat="1" ht="74.599999999999994">
      <c r="A76" s="188" t="s">
        <v>317</v>
      </c>
      <c r="B76" s="147" t="s">
        <v>381</v>
      </c>
      <c r="C76" s="144" t="s">
        <v>392</v>
      </c>
      <c r="D76" s="145" t="s">
        <v>393</v>
      </c>
      <c r="E76" s="41"/>
      <c r="F76" s="93"/>
      <c r="G76" s="41"/>
      <c r="H76" s="76"/>
      <c r="I76" s="94" t="b">
        <f>EXACT(C76,O76)</f>
        <v>1</v>
      </c>
      <c r="J76" s="94" t="b">
        <f>EXACT(D76,P76)</f>
        <v>1</v>
      </c>
      <c r="K76" s="94" t="s">
        <v>1568</v>
      </c>
      <c r="L76" s="94"/>
      <c r="M76" s="160" t="s">
        <v>317</v>
      </c>
      <c r="N76" s="160" t="s">
        <v>381</v>
      </c>
      <c r="O76" s="159" t="s">
        <v>392</v>
      </c>
      <c r="P76" s="189" t="s">
        <v>393</v>
      </c>
      <c r="Q76" s="130"/>
      <c r="R76" s="130"/>
      <c r="S76" s="130"/>
    </row>
    <row r="77" spans="1:19" s="75" customFormat="1" ht="14.6">
      <c r="A77" s="188" t="s">
        <v>317</v>
      </c>
      <c r="B77" s="147" t="s">
        <v>381</v>
      </c>
      <c r="C77" s="144" t="s">
        <v>394</v>
      </c>
      <c r="D77" s="145" t="s">
        <v>395</v>
      </c>
      <c r="E77" s="41"/>
      <c r="F77" s="93"/>
      <c r="G77" s="41"/>
      <c r="H77" s="76"/>
      <c r="I77" s="94" t="b">
        <f>EXACT(C77,O77)</f>
        <v>1</v>
      </c>
      <c r="J77" s="94" t="b">
        <f>EXACT(D77,P77)</f>
        <v>1</v>
      </c>
      <c r="K77" s="94" t="s">
        <v>1568</v>
      </c>
      <c r="L77" s="94"/>
      <c r="M77" s="160" t="s">
        <v>317</v>
      </c>
      <c r="N77" s="160" t="s">
        <v>381</v>
      </c>
      <c r="O77" s="159" t="s">
        <v>394</v>
      </c>
      <c r="P77" s="189" t="s">
        <v>395</v>
      </c>
      <c r="Q77" s="130"/>
      <c r="R77" s="130"/>
      <c r="S77" s="130"/>
    </row>
    <row r="78" spans="1:19" s="75" customFormat="1" ht="74.599999999999994">
      <c r="A78" s="188" t="s">
        <v>317</v>
      </c>
      <c r="B78" s="147" t="s">
        <v>381</v>
      </c>
      <c r="C78" s="144" t="s">
        <v>396</v>
      </c>
      <c r="D78" s="145" t="s">
        <v>397</v>
      </c>
      <c r="E78" s="41"/>
      <c r="F78" s="93"/>
      <c r="G78" s="41"/>
      <c r="H78" s="76"/>
      <c r="I78" s="94" t="b">
        <f>EXACT(C78,O78)</f>
        <v>1</v>
      </c>
      <c r="J78" s="94" t="b">
        <f>EXACT(D78,P78)</f>
        <v>1</v>
      </c>
      <c r="K78" s="94" t="s">
        <v>1568</v>
      </c>
      <c r="L78" s="94"/>
      <c r="M78" s="160" t="s">
        <v>317</v>
      </c>
      <c r="N78" s="160" t="s">
        <v>381</v>
      </c>
      <c r="O78" s="159" t="s">
        <v>396</v>
      </c>
      <c r="P78" s="189" t="s">
        <v>397</v>
      </c>
      <c r="Q78" s="130"/>
      <c r="R78" s="130"/>
      <c r="S78" s="130"/>
    </row>
    <row r="79" spans="1:19" s="75" customFormat="1" ht="37.299999999999997">
      <c r="A79" s="188" t="s">
        <v>317</v>
      </c>
      <c r="B79" s="147" t="s">
        <v>318</v>
      </c>
      <c r="C79" s="144" t="s">
        <v>338</v>
      </c>
      <c r="D79" s="145" t="s">
        <v>339</v>
      </c>
      <c r="E79" s="41" t="s">
        <v>331</v>
      </c>
      <c r="F79" s="93"/>
      <c r="G79" s="41"/>
      <c r="H79" s="76"/>
      <c r="I79" s="94" t="b">
        <f>EXACT(C79,O79)</f>
        <v>0</v>
      </c>
      <c r="J79" s="94" t="b">
        <f>EXACT(D79,P79)</f>
        <v>0</v>
      </c>
      <c r="K79" s="94" t="s">
        <v>1570</v>
      </c>
      <c r="L79" s="94" t="s">
        <v>1581</v>
      </c>
      <c r="M79" s="160"/>
      <c r="N79" s="160"/>
      <c r="O79" s="159"/>
      <c r="P79" s="189"/>
      <c r="Q79" s="130"/>
      <c r="R79" s="130"/>
      <c r="S79" s="130"/>
    </row>
    <row r="80" spans="1:19" s="75" customFormat="1" ht="37.299999999999997">
      <c r="A80" s="188" t="s">
        <v>317</v>
      </c>
      <c r="B80" s="147" t="s">
        <v>318</v>
      </c>
      <c r="C80" s="144" t="s">
        <v>340</v>
      </c>
      <c r="D80" s="145" t="s">
        <v>341</v>
      </c>
      <c r="E80" s="97" t="s">
        <v>331</v>
      </c>
      <c r="F80" s="94"/>
      <c r="G80" s="94"/>
      <c r="H80" s="94"/>
      <c r="I80" s="94" t="b">
        <f>EXACT(C80,O80)</f>
        <v>0</v>
      </c>
      <c r="J80" s="94" t="b">
        <f>EXACT(D80,P80)</f>
        <v>0</v>
      </c>
      <c r="K80" s="94" t="s">
        <v>1570</v>
      </c>
      <c r="L80" s="94" t="s">
        <v>1581</v>
      </c>
      <c r="M80" s="160"/>
      <c r="N80" s="160"/>
      <c r="O80" s="159"/>
      <c r="P80" s="189"/>
      <c r="Q80" s="130"/>
      <c r="R80" s="130"/>
      <c r="S80" s="130"/>
    </row>
    <row r="81" spans="1:19" s="75" customFormat="1" ht="37.299999999999997">
      <c r="A81" s="188" t="s">
        <v>317</v>
      </c>
      <c r="B81" s="147" t="s">
        <v>318</v>
      </c>
      <c r="C81" s="144" t="s">
        <v>342</v>
      </c>
      <c r="D81" s="145" t="s">
        <v>343</v>
      </c>
      <c r="E81" s="97" t="s">
        <v>331</v>
      </c>
      <c r="F81" s="93"/>
      <c r="G81" s="41"/>
      <c r="H81" s="76"/>
      <c r="I81" s="94" t="b">
        <f>EXACT(C81,O81)</f>
        <v>0</v>
      </c>
      <c r="J81" s="94" t="b">
        <f>EXACT(D81,P81)</f>
        <v>0</v>
      </c>
      <c r="K81" s="94" t="s">
        <v>1570</v>
      </c>
      <c r="L81" s="94" t="s">
        <v>1581</v>
      </c>
      <c r="M81" s="160"/>
      <c r="N81" s="160"/>
      <c r="O81" s="159"/>
      <c r="P81" s="189"/>
      <c r="Q81" s="130"/>
      <c r="R81" s="130"/>
      <c r="S81" s="130"/>
    </row>
    <row r="82" spans="1:19" s="75" customFormat="1" ht="37.299999999999997">
      <c r="A82" s="188" t="s">
        <v>317</v>
      </c>
      <c r="B82" s="147" t="s">
        <v>318</v>
      </c>
      <c r="C82" s="144" t="s">
        <v>344</v>
      </c>
      <c r="D82" s="145" t="s">
        <v>345</v>
      </c>
      <c r="E82" s="97" t="s">
        <v>331</v>
      </c>
      <c r="F82" s="93"/>
      <c r="G82" s="41"/>
      <c r="H82" s="76"/>
      <c r="I82" s="94" t="b">
        <f>EXACT(C82,O82)</f>
        <v>0</v>
      </c>
      <c r="J82" s="94" t="b">
        <f>EXACT(D82,P82)</f>
        <v>0</v>
      </c>
      <c r="K82" s="94" t="s">
        <v>1570</v>
      </c>
      <c r="L82" s="94" t="s">
        <v>1581</v>
      </c>
      <c r="M82" s="160"/>
      <c r="N82" s="160"/>
      <c r="O82" s="159"/>
      <c r="P82" s="189"/>
      <c r="Q82" s="130"/>
      <c r="R82" s="130"/>
      <c r="S82" s="130"/>
    </row>
    <row r="83" spans="1:19" s="75" customFormat="1" ht="37.299999999999997">
      <c r="A83" s="188" t="s">
        <v>317</v>
      </c>
      <c r="B83" s="147" t="s">
        <v>318</v>
      </c>
      <c r="C83" s="144" t="s">
        <v>346</v>
      </c>
      <c r="D83" s="145" t="s">
        <v>347</v>
      </c>
      <c r="E83" s="97" t="s">
        <v>331</v>
      </c>
      <c r="F83" s="94"/>
      <c r="G83" s="94"/>
      <c r="H83" s="94"/>
      <c r="I83" s="94" t="b">
        <f>EXACT(C83,O83)</f>
        <v>0</v>
      </c>
      <c r="J83" s="94" t="b">
        <f>EXACT(D83,P83)</f>
        <v>0</v>
      </c>
      <c r="K83" s="94" t="s">
        <v>1570</v>
      </c>
      <c r="L83" s="94" t="s">
        <v>1581</v>
      </c>
      <c r="M83" s="160"/>
      <c r="N83" s="160"/>
      <c r="O83" s="159"/>
      <c r="P83" s="189"/>
      <c r="Q83" s="130"/>
      <c r="R83" s="130"/>
      <c r="S83" s="130"/>
    </row>
    <row r="84" spans="1:19" s="75" customFormat="1" ht="111.9">
      <c r="A84" s="188" t="s">
        <v>317</v>
      </c>
      <c r="B84" s="147" t="s">
        <v>318</v>
      </c>
      <c r="C84" s="144" t="s">
        <v>348</v>
      </c>
      <c r="D84" s="145" t="s">
        <v>349</v>
      </c>
      <c r="E84" s="97" t="s">
        <v>331</v>
      </c>
      <c r="F84" s="94"/>
      <c r="G84" s="94"/>
      <c r="H84" s="94"/>
      <c r="I84" s="94" t="b">
        <f>EXACT(C84,O84)</f>
        <v>0</v>
      </c>
      <c r="J84" s="94" t="b">
        <f>EXACT(D84,P84)</f>
        <v>0</v>
      </c>
      <c r="K84" s="94" t="s">
        <v>1570</v>
      </c>
      <c r="L84" s="94" t="s">
        <v>1581</v>
      </c>
      <c r="M84" s="160"/>
      <c r="N84" s="160"/>
      <c r="O84" s="159"/>
      <c r="P84" s="189"/>
      <c r="Q84" s="130"/>
      <c r="R84" s="130"/>
      <c r="S84" s="130"/>
    </row>
    <row r="85" spans="1:19" s="75" customFormat="1" ht="24.9">
      <c r="A85" s="188" t="s">
        <v>317</v>
      </c>
      <c r="B85" s="147" t="s">
        <v>318</v>
      </c>
      <c r="C85" s="144" t="s">
        <v>350</v>
      </c>
      <c r="D85" s="145" t="s">
        <v>351</v>
      </c>
      <c r="E85" s="41"/>
      <c r="F85" s="93"/>
      <c r="G85" s="41"/>
      <c r="H85" s="76"/>
      <c r="I85" s="94" t="b">
        <f>EXACT(C85,O85)</f>
        <v>1</v>
      </c>
      <c r="J85" s="94" t="b">
        <f>EXACT(D85,P85)</f>
        <v>1</v>
      </c>
      <c r="K85" s="94" t="s">
        <v>1568</v>
      </c>
      <c r="L85" s="94"/>
      <c r="M85" s="160" t="s">
        <v>317</v>
      </c>
      <c r="N85" s="160" t="s">
        <v>318</v>
      </c>
      <c r="O85" s="159" t="s">
        <v>350</v>
      </c>
      <c r="P85" s="189" t="s">
        <v>351</v>
      </c>
      <c r="Q85" s="130"/>
      <c r="R85" s="130"/>
      <c r="S85" s="130"/>
    </row>
    <row r="86" spans="1:19" s="75" customFormat="1" ht="24.9">
      <c r="A86" s="188" t="s">
        <v>317</v>
      </c>
      <c r="B86" s="147" t="s">
        <v>318</v>
      </c>
      <c r="C86" s="144" t="s">
        <v>352</v>
      </c>
      <c r="D86" s="145" t="s">
        <v>353</v>
      </c>
      <c r="E86" s="41"/>
      <c r="F86" s="93"/>
      <c r="G86" s="41"/>
      <c r="H86" s="76"/>
      <c r="I86" s="94" t="b">
        <f>EXACT(C86,O86)</f>
        <v>1</v>
      </c>
      <c r="J86" s="94" t="b">
        <f>EXACT(D86,P86)</f>
        <v>1</v>
      </c>
      <c r="K86" s="94" t="s">
        <v>1568</v>
      </c>
      <c r="L86" s="94"/>
      <c r="M86" s="160" t="s">
        <v>317</v>
      </c>
      <c r="N86" s="160" t="s">
        <v>381</v>
      </c>
      <c r="O86" s="159" t="s">
        <v>352</v>
      </c>
      <c r="P86" s="189" t="s">
        <v>353</v>
      </c>
      <c r="Q86" s="130"/>
      <c r="R86" s="130"/>
      <c r="S86" s="130"/>
    </row>
    <row r="87" spans="1:19" s="75" customFormat="1" ht="62.15">
      <c r="A87" s="188" t="s">
        <v>317</v>
      </c>
      <c r="B87" s="147" t="s">
        <v>318</v>
      </c>
      <c r="C87" s="144" t="s">
        <v>354</v>
      </c>
      <c r="D87" s="145" t="s">
        <v>355</v>
      </c>
      <c r="E87" s="97"/>
      <c r="F87" s="94"/>
      <c r="G87" s="94"/>
      <c r="H87" s="94"/>
      <c r="I87" s="94" t="b">
        <f>EXACT(C87,O87)</f>
        <v>0</v>
      </c>
      <c r="J87" s="94" t="b">
        <f>EXACT(D87,P87)</f>
        <v>0</v>
      </c>
      <c r="K87" s="94" t="s">
        <v>1570</v>
      </c>
      <c r="L87" s="94" t="s">
        <v>1581</v>
      </c>
      <c r="M87" s="160"/>
      <c r="N87" s="160"/>
      <c r="O87" s="159"/>
      <c r="P87" s="189"/>
      <c r="Q87" s="131"/>
      <c r="R87" s="131"/>
      <c r="S87" s="131"/>
    </row>
    <row r="88" spans="1:19" s="75" customFormat="1" ht="49.75">
      <c r="A88" s="188" t="s">
        <v>317</v>
      </c>
      <c r="B88" s="147" t="s">
        <v>318</v>
      </c>
      <c r="C88" s="144" t="s">
        <v>356</v>
      </c>
      <c r="D88" s="145" t="s">
        <v>357</v>
      </c>
      <c r="E88" s="97"/>
      <c r="F88" s="94"/>
      <c r="G88" s="94"/>
      <c r="H88" s="94"/>
      <c r="I88" s="94" t="b">
        <f>EXACT(C88,O88)</f>
        <v>0</v>
      </c>
      <c r="J88" s="94" t="b">
        <f>EXACT(D88,P88)</f>
        <v>0</v>
      </c>
      <c r="K88" s="94" t="s">
        <v>1570</v>
      </c>
      <c r="L88" s="94" t="s">
        <v>1581</v>
      </c>
      <c r="M88" s="160"/>
      <c r="N88" s="160"/>
      <c r="O88" s="159"/>
      <c r="P88" s="189"/>
      <c r="Q88" s="131"/>
      <c r="R88" s="131"/>
      <c r="S88" s="131"/>
    </row>
    <row r="89" spans="1:19" s="75" customFormat="1" ht="37.299999999999997">
      <c r="A89" s="188" t="s">
        <v>317</v>
      </c>
      <c r="B89" s="147" t="s">
        <v>318</v>
      </c>
      <c r="C89" s="144" t="s">
        <v>358</v>
      </c>
      <c r="D89" s="150" t="s">
        <v>359</v>
      </c>
      <c r="E89" s="97" t="s">
        <v>331</v>
      </c>
      <c r="F89" s="93"/>
      <c r="G89" s="41"/>
      <c r="H89" s="76"/>
      <c r="I89" s="94" t="b">
        <f>EXACT(C89,O89)</f>
        <v>0</v>
      </c>
      <c r="J89" s="94" t="b">
        <f>EXACT(D89,P89)</f>
        <v>0</v>
      </c>
      <c r="K89" s="94" t="s">
        <v>1570</v>
      </c>
      <c r="L89" s="94" t="s">
        <v>1581</v>
      </c>
      <c r="M89" s="160"/>
      <c r="N89" s="160"/>
      <c r="O89" s="159"/>
      <c r="P89" s="189"/>
      <c r="Q89" s="131"/>
      <c r="R89" s="131"/>
      <c r="S89" s="131"/>
    </row>
    <row r="90" spans="1:19" s="75" customFormat="1" ht="37.299999999999997">
      <c r="A90" s="188" t="s">
        <v>317</v>
      </c>
      <c r="B90" s="147" t="s">
        <v>318</v>
      </c>
      <c r="C90" s="144" t="s">
        <v>360</v>
      </c>
      <c r="D90" s="150" t="s">
        <v>361</v>
      </c>
      <c r="E90" s="97" t="s">
        <v>331</v>
      </c>
      <c r="F90" s="93"/>
      <c r="G90" s="41"/>
      <c r="H90" s="76"/>
      <c r="I90" s="94" t="b">
        <f>EXACT(C90,O90)</f>
        <v>0</v>
      </c>
      <c r="J90" s="94" t="b">
        <f>EXACT(D90,P90)</f>
        <v>0</v>
      </c>
      <c r="K90" s="94" t="s">
        <v>1570</v>
      </c>
      <c r="L90" s="94" t="s">
        <v>1581</v>
      </c>
      <c r="M90" s="160"/>
      <c r="N90" s="160"/>
      <c r="O90" s="159"/>
      <c r="P90" s="189"/>
      <c r="Q90" s="131"/>
      <c r="R90" s="131"/>
      <c r="S90" s="131"/>
    </row>
    <row r="91" spans="1:19" s="75" customFormat="1" ht="37.299999999999997">
      <c r="A91" s="188" t="s">
        <v>317</v>
      </c>
      <c r="B91" s="147" t="s">
        <v>318</v>
      </c>
      <c r="C91" s="144" t="s">
        <v>362</v>
      </c>
      <c r="D91" s="150" t="s">
        <v>363</v>
      </c>
      <c r="E91" s="97" t="s">
        <v>331</v>
      </c>
      <c r="F91" s="93"/>
      <c r="G91" s="41"/>
      <c r="H91" s="76"/>
      <c r="I91" s="94" t="b">
        <f>EXACT(C91,O91)</f>
        <v>0</v>
      </c>
      <c r="J91" s="94" t="b">
        <f>EXACT(D91,P91)</f>
        <v>0</v>
      </c>
      <c r="K91" s="94" t="s">
        <v>1570</v>
      </c>
      <c r="L91" s="94" t="s">
        <v>1581</v>
      </c>
      <c r="M91" s="160"/>
      <c r="N91" s="160"/>
      <c r="O91" s="159"/>
      <c r="P91" s="189"/>
      <c r="Q91" s="131"/>
      <c r="R91" s="131"/>
      <c r="S91" s="131"/>
    </row>
    <row r="92" spans="1:19" s="75" customFormat="1" ht="14.6">
      <c r="A92" s="188" t="s">
        <v>317</v>
      </c>
      <c r="B92" s="147" t="s">
        <v>318</v>
      </c>
      <c r="C92" s="144" t="s">
        <v>364</v>
      </c>
      <c r="D92" s="145" t="s">
        <v>365</v>
      </c>
      <c r="E92" s="41"/>
      <c r="F92" s="93"/>
      <c r="G92" s="41"/>
      <c r="H92" s="76"/>
      <c r="I92" s="94" t="b">
        <f>EXACT(C92,O92)</f>
        <v>1</v>
      </c>
      <c r="J92" s="94" t="b">
        <f>EXACT(D92,P92)</f>
        <v>1</v>
      </c>
      <c r="K92" s="94" t="s">
        <v>1568</v>
      </c>
      <c r="L92" s="94"/>
      <c r="M92" s="160" t="s">
        <v>317</v>
      </c>
      <c r="N92" s="160" t="s">
        <v>318</v>
      </c>
      <c r="O92" s="159" t="s">
        <v>364</v>
      </c>
      <c r="P92" s="189" t="s">
        <v>365</v>
      </c>
      <c r="Q92" s="131"/>
      <c r="R92" s="131"/>
      <c r="S92" s="131"/>
    </row>
    <row r="93" spans="1:19" s="75" customFormat="1" ht="14.6">
      <c r="A93" s="188" t="s">
        <v>317</v>
      </c>
      <c r="B93" s="147" t="s">
        <v>318</v>
      </c>
      <c r="C93" s="144" t="s">
        <v>366</v>
      </c>
      <c r="D93" s="145" t="s">
        <v>367</v>
      </c>
      <c r="E93" s="97" t="s">
        <v>331</v>
      </c>
      <c r="F93" s="94"/>
      <c r="G93" s="94"/>
      <c r="H93" s="94"/>
      <c r="I93" s="94" t="b">
        <f>EXACT(C93,O93)</f>
        <v>1</v>
      </c>
      <c r="J93" s="94" t="b">
        <f>EXACT(D93,P93)</f>
        <v>1</v>
      </c>
      <c r="K93" s="94" t="s">
        <v>1568</v>
      </c>
      <c r="L93" s="94"/>
      <c r="M93" s="160" t="s">
        <v>317</v>
      </c>
      <c r="N93" s="160" t="s">
        <v>318</v>
      </c>
      <c r="O93" s="159" t="s">
        <v>366</v>
      </c>
      <c r="P93" s="189" t="s">
        <v>367</v>
      </c>
      <c r="Q93" s="131"/>
      <c r="R93" s="131"/>
      <c r="S93" s="131"/>
    </row>
    <row r="94" spans="1:19" s="75" customFormat="1" ht="14.6">
      <c r="A94" s="193" t="s">
        <v>317</v>
      </c>
      <c r="B94" s="147" t="s">
        <v>318</v>
      </c>
      <c r="C94" s="144" t="s">
        <v>368</v>
      </c>
      <c r="D94" s="151" t="s">
        <v>369</v>
      </c>
      <c r="E94" s="97" t="s">
        <v>331</v>
      </c>
      <c r="F94" s="94"/>
      <c r="G94" s="94"/>
      <c r="H94" s="94"/>
      <c r="I94" s="94" t="b">
        <f>EXACT(C94,O94)</f>
        <v>1</v>
      </c>
      <c r="J94" s="94" t="b">
        <f>EXACT(D94,P94)</f>
        <v>1</v>
      </c>
      <c r="K94" s="94" t="s">
        <v>1568</v>
      </c>
      <c r="L94" s="94"/>
      <c r="M94" s="161" t="s">
        <v>317</v>
      </c>
      <c r="N94" s="160" t="s">
        <v>318</v>
      </c>
      <c r="O94" s="159" t="s">
        <v>368</v>
      </c>
      <c r="P94" s="194" t="s">
        <v>369</v>
      </c>
      <c r="Q94" s="131"/>
      <c r="R94" s="131"/>
      <c r="S94" s="131"/>
    </row>
    <row r="95" spans="1:19" s="75" customFormat="1" ht="14.6">
      <c r="A95" s="188" t="s">
        <v>317</v>
      </c>
      <c r="B95" s="147" t="s">
        <v>318</v>
      </c>
      <c r="C95" s="144" t="s">
        <v>370</v>
      </c>
      <c r="D95" s="145" t="s">
        <v>371</v>
      </c>
      <c r="E95" s="97"/>
      <c r="F95" s="94"/>
      <c r="G95" s="94"/>
      <c r="H95" s="94"/>
      <c r="I95" s="94" t="b">
        <f>EXACT(C95,O95)</f>
        <v>1</v>
      </c>
      <c r="J95" s="94" t="b">
        <f>EXACT(D95,P95)</f>
        <v>1</v>
      </c>
      <c r="K95" s="94" t="s">
        <v>1568</v>
      </c>
      <c r="L95" s="94"/>
      <c r="M95" s="160" t="s">
        <v>317</v>
      </c>
      <c r="N95" s="160" t="s">
        <v>318</v>
      </c>
      <c r="O95" s="159" t="s">
        <v>370</v>
      </c>
      <c r="P95" s="189" t="s">
        <v>371</v>
      </c>
      <c r="Q95" s="131"/>
      <c r="R95" s="131"/>
      <c r="S95" s="131"/>
    </row>
    <row r="96" spans="1:19" s="75" customFormat="1" ht="24.9">
      <c r="A96" s="188" t="s">
        <v>317</v>
      </c>
      <c r="B96" s="147" t="s">
        <v>381</v>
      </c>
      <c r="C96" s="144" t="s">
        <v>398</v>
      </c>
      <c r="D96" s="145" t="s">
        <v>399</v>
      </c>
      <c r="E96" s="41"/>
      <c r="F96" s="93"/>
      <c r="G96" s="41"/>
      <c r="H96" s="76"/>
      <c r="I96" s="94" t="b">
        <f>EXACT(C96,O96)</f>
        <v>1</v>
      </c>
      <c r="J96" s="94" t="b">
        <f>EXACT(D96,P96)</f>
        <v>1</v>
      </c>
      <c r="K96" s="94" t="s">
        <v>1568</v>
      </c>
      <c r="L96" s="94"/>
      <c r="M96" s="160" t="s">
        <v>317</v>
      </c>
      <c r="N96" s="160" t="s">
        <v>381</v>
      </c>
      <c r="O96" s="159" t="s">
        <v>398</v>
      </c>
      <c r="P96" s="189" t="s">
        <v>399</v>
      </c>
      <c r="Q96" s="131"/>
      <c r="R96" s="131"/>
      <c r="S96" s="131"/>
    </row>
    <row r="97" spans="1:19" s="75" customFormat="1" ht="14.6">
      <c r="A97" s="188" t="s">
        <v>400</v>
      </c>
      <c r="B97" s="147" t="s">
        <v>418</v>
      </c>
      <c r="C97" s="144" t="s">
        <v>419</v>
      </c>
      <c r="D97" s="145" t="s">
        <v>420</v>
      </c>
      <c r="E97" s="97"/>
      <c r="F97" s="94"/>
      <c r="G97" s="94"/>
      <c r="H97" s="94"/>
      <c r="I97" s="94" t="b">
        <f>EXACT(C97,O97)</f>
        <v>1</v>
      </c>
      <c r="J97" s="94" t="b">
        <f>EXACT(D97,P97)</f>
        <v>1</v>
      </c>
      <c r="K97" s="94" t="s">
        <v>1568</v>
      </c>
      <c r="L97" s="94"/>
      <c r="M97" s="160" t="s">
        <v>400</v>
      </c>
      <c r="N97" s="160" t="s">
        <v>418</v>
      </c>
      <c r="O97" s="159" t="s">
        <v>419</v>
      </c>
      <c r="P97" s="189" t="s">
        <v>420</v>
      </c>
      <c r="Q97" s="131"/>
      <c r="R97" s="131"/>
      <c r="S97" s="131"/>
    </row>
    <row r="98" spans="1:19" s="75" customFormat="1" ht="29.15">
      <c r="A98" s="188" t="s">
        <v>400</v>
      </c>
      <c r="B98" s="147" t="s">
        <v>429</v>
      </c>
      <c r="C98" s="144" t="s">
        <v>430</v>
      </c>
      <c r="D98" s="152" t="s">
        <v>431</v>
      </c>
      <c r="E98" s="97"/>
      <c r="F98" s="94"/>
      <c r="G98" s="94"/>
      <c r="H98" s="94"/>
      <c r="I98" s="94" t="b">
        <f>EXACT(C98,O98)</f>
        <v>1</v>
      </c>
      <c r="J98" s="94" t="b">
        <f>EXACT(D98,P98)</f>
        <v>1</v>
      </c>
      <c r="K98" s="94" t="s">
        <v>1568</v>
      </c>
      <c r="L98" s="94"/>
      <c r="M98" s="160" t="s">
        <v>400</v>
      </c>
      <c r="N98" s="160" t="s">
        <v>429</v>
      </c>
      <c r="O98" s="159" t="s">
        <v>430</v>
      </c>
      <c r="P98" s="195" t="s">
        <v>431</v>
      </c>
      <c r="Q98" s="131"/>
      <c r="R98" s="131"/>
      <c r="S98" s="131"/>
    </row>
    <row r="99" spans="1:19" s="75" customFormat="1" ht="29.15">
      <c r="A99" s="188" t="s">
        <v>400</v>
      </c>
      <c r="B99" s="147" t="s">
        <v>429</v>
      </c>
      <c r="C99" s="144" t="s">
        <v>432</v>
      </c>
      <c r="D99" s="152" t="s">
        <v>433</v>
      </c>
      <c r="E99" s="97"/>
      <c r="F99" s="94"/>
      <c r="G99" s="94"/>
      <c r="H99" s="94"/>
      <c r="I99" s="94" t="b">
        <f>EXACT(C99,O99)</f>
        <v>1</v>
      </c>
      <c r="J99" s="94" t="b">
        <f>EXACT(D99,P99)</f>
        <v>1</v>
      </c>
      <c r="K99" s="94" t="s">
        <v>1568</v>
      </c>
      <c r="L99" s="94"/>
      <c r="M99" s="160" t="s">
        <v>400</v>
      </c>
      <c r="N99" s="160" t="s">
        <v>429</v>
      </c>
      <c r="O99" s="159" t="s">
        <v>432</v>
      </c>
      <c r="P99" s="195" t="s">
        <v>433</v>
      </c>
      <c r="Q99" s="131"/>
      <c r="R99" s="131"/>
      <c r="S99" s="131"/>
    </row>
    <row r="100" spans="1:19" s="75" customFormat="1" ht="43.75">
      <c r="A100" s="188" t="s">
        <v>400</v>
      </c>
      <c r="B100" s="147" t="s">
        <v>429</v>
      </c>
      <c r="C100" s="144" t="s">
        <v>434</v>
      </c>
      <c r="D100" s="152" t="s">
        <v>435</v>
      </c>
      <c r="E100" s="97"/>
      <c r="F100" s="94"/>
      <c r="G100" s="94"/>
      <c r="H100" s="94"/>
      <c r="I100" s="94" t="b">
        <f>EXACT(C100,O100)</f>
        <v>1</v>
      </c>
      <c r="J100" s="94" t="b">
        <f>EXACT(D100,P100)</f>
        <v>1</v>
      </c>
      <c r="K100" s="94" t="s">
        <v>1568</v>
      </c>
      <c r="L100" s="94"/>
      <c r="M100" s="160" t="s">
        <v>400</v>
      </c>
      <c r="N100" s="160" t="s">
        <v>429</v>
      </c>
      <c r="O100" s="159" t="s">
        <v>434</v>
      </c>
      <c r="P100" s="195" t="s">
        <v>435</v>
      </c>
      <c r="Q100" s="131"/>
      <c r="R100" s="131"/>
      <c r="S100" s="131"/>
    </row>
    <row r="101" spans="1:19" s="75" customFormat="1" ht="43.75">
      <c r="A101" s="188" t="s">
        <v>400</v>
      </c>
      <c r="B101" s="147" t="s">
        <v>429</v>
      </c>
      <c r="C101" s="144" t="s">
        <v>436</v>
      </c>
      <c r="D101" s="152" t="s">
        <v>437</v>
      </c>
      <c r="E101" s="97"/>
      <c r="F101" s="94"/>
      <c r="G101" s="94"/>
      <c r="H101" s="94"/>
      <c r="I101" s="94" t="b">
        <f>EXACT(C101,O101)</f>
        <v>1</v>
      </c>
      <c r="J101" s="94" t="b">
        <f>EXACT(D101,P101)</f>
        <v>1</v>
      </c>
      <c r="K101" s="94" t="s">
        <v>1568</v>
      </c>
      <c r="L101" s="94"/>
      <c r="M101" s="160" t="s">
        <v>400</v>
      </c>
      <c r="N101" s="160" t="s">
        <v>429</v>
      </c>
      <c r="O101" s="159" t="s">
        <v>436</v>
      </c>
      <c r="P101" s="195" t="s">
        <v>437</v>
      </c>
      <c r="Q101" s="131"/>
      <c r="R101" s="131"/>
      <c r="S101" s="131"/>
    </row>
    <row r="102" spans="1:19" s="75" customFormat="1" ht="58.3">
      <c r="A102" s="188" t="s">
        <v>400</v>
      </c>
      <c r="B102" s="147" t="s">
        <v>429</v>
      </c>
      <c r="C102" s="144" t="s">
        <v>438</v>
      </c>
      <c r="D102" s="152" t="s">
        <v>439</v>
      </c>
      <c r="E102" s="97"/>
      <c r="F102" s="94"/>
      <c r="G102" s="94"/>
      <c r="H102" s="94"/>
      <c r="I102" s="94" t="b">
        <f>EXACT(C102,O102)</f>
        <v>1</v>
      </c>
      <c r="J102" s="94" t="b">
        <f>EXACT(D102,P102)</f>
        <v>1</v>
      </c>
      <c r="K102" s="94" t="s">
        <v>1568</v>
      </c>
      <c r="L102" s="94"/>
      <c r="M102" s="160" t="s">
        <v>400</v>
      </c>
      <c r="N102" s="160" t="s">
        <v>429</v>
      </c>
      <c r="O102" s="159" t="s">
        <v>438</v>
      </c>
      <c r="P102" s="195" t="s">
        <v>439</v>
      </c>
      <c r="Q102" s="131"/>
      <c r="R102" s="131"/>
      <c r="S102" s="131"/>
    </row>
    <row r="103" spans="1:19" s="75" customFormat="1" ht="29.15">
      <c r="A103" s="188" t="s">
        <v>400</v>
      </c>
      <c r="B103" s="147" t="s">
        <v>429</v>
      </c>
      <c r="C103" s="144" t="s">
        <v>440</v>
      </c>
      <c r="D103" s="152" t="s">
        <v>441</v>
      </c>
      <c r="E103" s="97"/>
      <c r="F103" s="94"/>
      <c r="G103" s="94"/>
      <c r="H103" s="94"/>
      <c r="I103" s="94" t="b">
        <f>EXACT(C103,O103)</f>
        <v>1</v>
      </c>
      <c r="J103" s="94" t="b">
        <f>EXACT(D103,P103)</f>
        <v>1</v>
      </c>
      <c r="K103" s="94" t="s">
        <v>1568</v>
      </c>
      <c r="L103" s="94"/>
      <c r="M103" s="160" t="s">
        <v>400</v>
      </c>
      <c r="N103" s="160" t="s">
        <v>429</v>
      </c>
      <c r="O103" s="159" t="s">
        <v>440</v>
      </c>
      <c r="P103" s="195" t="s">
        <v>441</v>
      </c>
      <c r="Q103" s="131"/>
      <c r="R103" s="131"/>
      <c r="S103" s="131"/>
    </row>
    <row r="104" spans="1:19" s="75" customFormat="1" ht="29.15">
      <c r="A104" s="188" t="s">
        <v>400</v>
      </c>
      <c r="B104" s="147" t="s">
        <v>401</v>
      </c>
      <c r="C104" s="144" t="s">
        <v>402</v>
      </c>
      <c r="D104" s="152" t="s">
        <v>403</v>
      </c>
      <c r="E104" s="97" t="s">
        <v>331</v>
      </c>
      <c r="F104" s="94"/>
      <c r="G104" s="94"/>
      <c r="H104" s="94"/>
      <c r="I104" s="94" t="b">
        <f>EXACT(C104,O104)</f>
        <v>1</v>
      </c>
      <c r="J104" s="94" t="b">
        <f>EXACT(D104,P104)</f>
        <v>1</v>
      </c>
      <c r="K104" s="94" t="s">
        <v>1568</v>
      </c>
      <c r="L104" s="94"/>
      <c r="M104" s="160" t="s">
        <v>400</v>
      </c>
      <c r="N104" s="160" t="s">
        <v>401</v>
      </c>
      <c r="O104" s="159" t="s">
        <v>402</v>
      </c>
      <c r="P104" s="195" t="s">
        <v>403</v>
      </c>
      <c r="Q104" s="131"/>
      <c r="R104" s="131"/>
      <c r="S104" s="131"/>
    </row>
    <row r="105" spans="1:19" s="75" customFormat="1" ht="43.75">
      <c r="A105" s="188" t="s">
        <v>400</v>
      </c>
      <c r="B105" s="147" t="s">
        <v>429</v>
      </c>
      <c r="C105" s="144" t="s">
        <v>442</v>
      </c>
      <c r="D105" s="152" t="s">
        <v>443</v>
      </c>
      <c r="E105" s="97" t="s">
        <v>331</v>
      </c>
      <c r="F105" s="94"/>
      <c r="G105" s="94"/>
      <c r="H105" s="94"/>
      <c r="I105" s="94" t="b">
        <f>EXACT(C105,O105)</f>
        <v>1</v>
      </c>
      <c r="J105" s="94" t="b">
        <f>EXACT(D105,P105)</f>
        <v>1</v>
      </c>
      <c r="K105" s="94" t="s">
        <v>1568</v>
      </c>
      <c r="L105" s="94"/>
      <c r="M105" s="160" t="s">
        <v>400</v>
      </c>
      <c r="N105" s="160" t="s">
        <v>429</v>
      </c>
      <c r="O105" s="159" t="s">
        <v>442</v>
      </c>
      <c r="P105" s="195" t="s">
        <v>443</v>
      </c>
      <c r="Q105" s="131"/>
      <c r="R105" s="131"/>
      <c r="S105" s="131"/>
    </row>
    <row r="106" spans="1:19" s="75" customFormat="1" ht="43.75">
      <c r="A106" s="188" t="s">
        <v>400</v>
      </c>
      <c r="B106" s="147" t="s">
        <v>429</v>
      </c>
      <c r="C106" s="144" t="s">
        <v>444</v>
      </c>
      <c r="D106" s="152" t="s">
        <v>445</v>
      </c>
      <c r="E106" s="97" t="s">
        <v>331</v>
      </c>
      <c r="F106" s="94"/>
      <c r="G106" s="94"/>
      <c r="H106" s="94"/>
      <c r="I106" s="94" t="b">
        <f>EXACT(C106,O106)</f>
        <v>1</v>
      </c>
      <c r="J106" s="94" t="b">
        <f>EXACT(D106,P106)</f>
        <v>1</v>
      </c>
      <c r="K106" s="94" t="s">
        <v>1568</v>
      </c>
      <c r="L106" s="94"/>
      <c r="M106" s="160" t="s">
        <v>400</v>
      </c>
      <c r="N106" s="160" t="s">
        <v>429</v>
      </c>
      <c r="O106" s="159" t="s">
        <v>444</v>
      </c>
      <c r="P106" s="195" t="s">
        <v>445</v>
      </c>
      <c r="Q106" s="131"/>
      <c r="R106" s="131"/>
      <c r="S106" s="131"/>
    </row>
    <row r="107" spans="1:19" s="75" customFormat="1" ht="29.15">
      <c r="A107" s="188" t="s">
        <v>400</v>
      </c>
      <c r="B107" s="147" t="s">
        <v>429</v>
      </c>
      <c r="C107" s="144" t="s">
        <v>446</v>
      </c>
      <c r="D107" s="152" t="s">
        <v>447</v>
      </c>
      <c r="E107" s="97" t="s">
        <v>331</v>
      </c>
      <c r="F107" s="94"/>
      <c r="G107" s="94"/>
      <c r="H107" s="94"/>
      <c r="I107" s="94" t="b">
        <f>EXACT(C107,O107)</f>
        <v>1</v>
      </c>
      <c r="J107" s="94" t="b">
        <f>EXACT(D107,P107)</f>
        <v>1</v>
      </c>
      <c r="K107" s="94" t="s">
        <v>1568</v>
      </c>
      <c r="L107" s="94"/>
      <c r="M107" s="160" t="s">
        <v>400</v>
      </c>
      <c r="N107" s="160" t="s">
        <v>429</v>
      </c>
      <c r="O107" s="159" t="s">
        <v>446</v>
      </c>
      <c r="P107" s="195" t="s">
        <v>447</v>
      </c>
      <c r="Q107" s="131"/>
      <c r="R107" s="131"/>
      <c r="S107" s="131"/>
    </row>
    <row r="108" spans="1:19" s="75" customFormat="1" ht="62.15">
      <c r="A108" s="188" t="s">
        <v>400</v>
      </c>
      <c r="B108" s="147" t="s">
        <v>401</v>
      </c>
      <c r="C108" s="144" t="s">
        <v>404</v>
      </c>
      <c r="D108" s="145" t="s">
        <v>405</v>
      </c>
      <c r="E108" s="41"/>
      <c r="F108" s="93"/>
      <c r="G108" s="41"/>
      <c r="H108" s="76"/>
      <c r="I108" s="94" t="b">
        <f>EXACT(C108,O108)</f>
        <v>1</v>
      </c>
      <c r="J108" s="94" t="b">
        <f>EXACT(D108,P108)</f>
        <v>1</v>
      </c>
      <c r="K108" s="94" t="s">
        <v>1568</v>
      </c>
      <c r="L108" s="94"/>
      <c r="M108" s="160" t="s">
        <v>400</v>
      </c>
      <c r="N108" s="160" t="s">
        <v>401</v>
      </c>
      <c r="O108" s="159" t="s">
        <v>404</v>
      </c>
      <c r="P108" s="189" t="s">
        <v>405</v>
      </c>
      <c r="Q108" s="131"/>
      <c r="R108" s="131"/>
      <c r="S108" s="131"/>
    </row>
    <row r="109" spans="1:19" s="75" customFormat="1" ht="43.75">
      <c r="A109" s="188" t="s">
        <v>400</v>
      </c>
      <c r="B109" s="147" t="s">
        <v>429</v>
      </c>
      <c r="C109" s="144" t="s">
        <v>448</v>
      </c>
      <c r="D109" s="152" t="s">
        <v>449</v>
      </c>
      <c r="E109" s="97" t="s">
        <v>331</v>
      </c>
      <c r="F109" s="94"/>
      <c r="G109" s="94"/>
      <c r="H109" s="94"/>
      <c r="I109" s="94" t="b">
        <f>EXACT(C109,O109)</f>
        <v>1</v>
      </c>
      <c r="J109" s="94" t="b">
        <f>EXACT(D109,P109)</f>
        <v>1</v>
      </c>
      <c r="K109" s="94" t="s">
        <v>1568</v>
      </c>
      <c r="L109" s="94"/>
      <c r="M109" s="160" t="s">
        <v>400</v>
      </c>
      <c r="N109" s="160" t="s">
        <v>429</v>
      </c>
      <c r="O109" s="159" t="s">
        <v>448</v>
      </c>
      <c r="P109" s="195" t="s">
        <v>449</v>
      </c>
      <c r="Q109" s="131"/>
      <c r="R109" s="131"/>
      <c r="S109" s="131"/>
    </row>
    <row r="110" spans="1:19" s="75" customFormat="1" ht="29.15">
      <c r="A110" s="188" t="s">
        <v>400</v>
      </c>
      <c r="B110" s="147" t="s">
        <v>429</v>
      </c>
      <c r="C110" s="144" t="s">
        <v>450</v>
      </c>
      <c r="D110" s="152" t="s">
        <v>451</v>
      </c>
      <c r="E110" s="97" t="s">
        <v>331</v>
      </c>
      <c r="F110" s="94"/>
      <c r="G110" s="94"/>
      <c r="H110" s="94"/>
      <c r="I110" s="94" t="b">
        <f>EXACT(C110,O110)</f>
        <v>1</v>
      </c>
      <c r="J110" s="94" t="b">
        <f>EXACT(D110,P110)</f>
        <v>1</v>
      </c>
      <c r="K110" s="94" t="s">
        <v>1568</v>
      </c>
      <c r="L110" s="94"/>
      <c r="M110" s="160" t="s">
        <v>400</v>
      </c>
      <c r="N110" s="160" t="s">
        <v>429</v>
      </c>
      <c r="O110" s="159" t="s">
        <v>450</v>
      </c>
      <c r="P110" s="195" t="s">
        <v>451</v>
      </c>
      <c r="Q110" s="131"/>
      <c r="R110" s="131"/>
      <c r="S110" s="131"/>
    </row>
    <row r="111" spans="1:19" s="75" customFormat="1" ht="29.15">
      <c r="A111" s="188" t="s">
        <v>400</v>
      </c>
      <c r="B111" s="147" t="s">
        <v>429</v>
      </c>
      <c r="C111" s="144" t="s">
        <v>452</v>
      </c>
      <c r="D111" s="152" t="s">
        <v>453</v>
      </c>
      <c r="E111" s="97" t="s">
        <v>331</v>
      </c>
      <c r="F111" s="94"/>
      <c r="G111" s="94"/>
      <c r="H111" s="94"/>
      <c r="I111" s="94" t="b">
        <f>EXACT(C111,O111)</f>
        <v>1</v>
      </c>
      <c r="J111" s="94" t="b">
        <f>EXACT(D111,P111)</f>
        <v>1</v>
      </c>
      <c r="K111" s="94" t="s">
        <v>1568</v>
      </c>
      <c r="L111" s="94"/>
      <c r="M111" s="160" t="s">
        <v>400</v>
      </c>
      <c r="N111" s="160" t="s">
        <v>429</v>
      </c>
      <c r="O111" s="159" t="s">
        <v>452</v>
      </c>
      <c r="P111" s="195" t="s">
        <v>453</v>
      </c>
      <c r="Q111" s="131"/>
      <c r="R111" s="131"/>
      <c r="S111" s="131"/>
    </row>
    <row r="112" spans="1:19" s="75" customFormat="1" ht="29.15">
      <c r="A112" s="188" t="s">
        <v>400</v>
      </c>
      <c r="B112" s="147" t="s">
        <v>429</v>
      </c>
      <c r="C112" s="144" t="s">
        <v>454</v>
      </c>
      <c r="D112" s="152" t="s">
        <v>455</v>
      </c>
      <c r="E112" s="97" t="s">
        <v>331</v>
      </c>
      <c r="F112" s="94"/>
      <c r="G112" s="94"/>
      <c r="H112" s="94"/>
      <c r="I112" s="94" t="b">
        <f>EXACT(C112,O112)</f>
        <v>1</v>
      </c>
      <c r="J112" s="94" t="b">
        <f>EXACT(D112,P112)</f>
        <v>1</v>
      </c>
      <c r="K112" s="94" t="s">
        <v>1568</v>
      </c>
      <c r="L112" s="94"/>
      <c r="M112" s="160" t="s">
        <v>400</v>
      </c>
      <c r="N112" s="160" t="s">
        <v>429</v>
      </c>
      <c r="O112" s="159" t="s">
        <v>454</v>
      </c>
      <c r="P112" s="195" t="s">
        <v>455</v>
      </c>
      <c r="Q112" s="131"/>
      <c r="R112" s="131"/>
      <c r="S112" s="131"/>
    </row>
    <row r="113" spans="1:19" s="75" customFormat="1" ht="43.75">
      <c r="A113" s="188" t="s">
        <v>400</v>
      </c>
      <c r="B113" s="147" t="s">
        <v>429</v>
      </c>
      <c r="C113" s="144" t="s">
        <v>456</v>
      </c>
      <c r="D113" s="152" t="s">
        <v>457</v>
      </c>
      <c r="E113" s="97" t="s">
        <v>331</v>
      </c>
      <c r="F113" s="94"/>
      <c r="G113" s="94"/>
      <c r="H113" s="94"/>
      <c r="I113" s="94" t="b">
        <f>EXACT(C113,O113)</f>
        <v>1</v>
      </c>
      <c r="J113" s="94" t="b">
        <f>EXACT(D113,P113)</f>
        <v>1</v>
      </c>
      <c r="K113" s="94" t="s">
        <v>1568</v>
      </c>
      <c r="L113" s="94"/>
      <c r="M113" s="160" t="s">
        <v>400</v>
      </c>
      <c r="N113" s="160" t="s">
        <v>429</v>
      </c>
      <c r="O113" s="159" t="s">
        <v>456</v>
      </c>
      <c r="P113" s="195" t="s">
        <v>457</v>
      </c>
      <c r="Q113" s="131"/>
      <c r="R113" s="131"/>
      <c r="S113" s="131"/>
    </row>
    <row r="114" spans="1:19" s="75" customFormat="1" ht="58.3">
      <c r="A114" s="188" t="s">
        <v>400</v>
      </c>
      <c r="B114" s="147" t="s">
        <v>429</v>
      </c>
      <c r="C114" s="144" t="s">
        <v>458</v>
      </c>
      <c r="D114" s="152" t="s">
        <v>459</v>
      </c>
      <c r="E114" s="97" t="s">
        <v>331</v>
      </c>
      <c r="F114" s="94"/>
      <c r="G114" s="94"/>
      <c r="H114" s="94"/>
      <c r="I114" s="94" t="b">
        <f>EXACT(C114,O114)</f>
        <v>1</v>
      </c>
      <c r="J114" s="94" t="b">
        <f>EXACT(D114,P114)</f>
        <v>1</v>
      </c>
      <c r="K114" s="94" t="s">
        <v>1568</v>
      </c>
      <c r="L114" s="94"/>
      <c r="M114" s="160" t="s">
        <v>400</v>
      </c>
      <c r="N114" s="160" t="s">
        <v>429</v>
      </c>
      <c r="O114" s="159" t="s">
        <v>458</v>
      </c>
      <c r="P114" s="195" t="s">
        <v>459</v>
      </c>
      <c r="Q114" s="131"/>
      <c r="R114" s="131"/>
      <c r="S114" s="131"/>
    </row>
    <row r="115" spans="1:19" s="75" customFormat="1" ht="43.75">
      <c r="A115" s="188" t="s">
        <v>400</v>
      </c>
      <c r="B115" s="147" t="s">
        <v>429</v>
      </c>
      <c r="C115" s="144" t="s">
        <v>460</v>
      </c>
      <c r="D115" s="152" t="s">
        <v>461</v>
      </c>
      <c r="E115" s="97" t="s">
        <v>331</v>
      </c>
      <c r="F115" s="94"/>
      <c r="G115" s="94"/>
      <c r="H115" s="94"/>
      <c r="I115" s="94" t="b">
        <f>EXACT(C115,O115)</f>
        <v>1</v>
      </c>
      <c r="J115" s="94" t="b">
        <f>EXACT(D115,P115)</f>
        <v>1</v>
      </c>
      <c r="K115" s="94" t="s">
        <v>1568</v>
      </c>
      <c r="L115" s="94"/>
      <c r="M115" s="160" t="s">
        <v>400</v>
      </c>
      <c r="N115" s="160" t="s">
        <v>429</v>
      </c>
      <c r="O115" s="159" t="s">
        <v>460</v>
      </c>
      <c r="P115" s="195" t="s">
        <v>461</v>
      </c>
      <c r="Q115" s="131"/>
      <c r="R115" s="131"/>
      <c r="S115" s="131"/>
    </row>
    <row r="116" spans="1:19" s="75" customFormat="1" ht="43.75">
      <c r="A116" s="188" t="s">
        <v>400</v>
      </c>
      <c r="B116" s="147" t="s">
        <v>429</v>
      </c>
      <c r="C116" s="144" t="s">
        <v>462</v>
      </c>
      <c r="D116" s="152" t="s">
        <v>463</v>
      </c>
      <c r="E116" s="97" t="s">
        <v>331</v>
      </c>
      <c r="F116" s="94"/>
      <c r="G116" s="94"/>
      <c r="H116" s="94"/>
      <c r="I116" s="94" t="b">
        <f>EXACT(C116,O116)</f>
        <v>1</v>
      </c>
      <c r="J116" s="94" t="b">
        <f>EXACT(D116,P116)</f>
        <v>1</v>
      </c>
      <c r="K116" s="94" t="s">
        <v>1568</v>
      </c>
      <c r="L116" s="94"/>
      <c r="M116" s="160" t="s">
        <v>400</v>
      </c>
      <c r="N116" s="160" t="s">
        <v>429</v>
      </c>
      <c r="O116" s="159" t="s">
        <v>462</v>
      </c>
      <c r="P116" s="195" t="s">
        <v>463</v>
      </c>
      <c r="Q116" s="131"/>
      <c r="R116" s="131"/>
      <c r="S116" s="131"/>
    </row>
    <row r="117" spans="1:19" s="75" customFormat="1" ht="58.3">
      <c r="A117" s="188" t="s">
        <v>400</v>
      </c>
      <c r="B117" s="147" t="s">
        <v>429</v>
      </c>
      <c r="C117" s="144" t="s">
        <v>464</v>
      </c>
      <c r="D117" s="152" t="s">
        <v>465</v>
      </c>
      <c r="E117" s="97" t="s">
        <v>331</v>
      </c>
      <c r="F117" s="94"/>
      <c r="G117" s="94"/>
      <c r="H117" s="94"/>
      <c r="I117" s="94" t="b">
        <f>EXACT(C117,O117)</f>
        <v>1</v>
      </c>
      <c r="J117" s="94" t="b">
        <f>EXACT(D117,P117)</f>
        <v>1</v>
      </c>
      <c r="K117" s="94" t="s">
        <v>1568</v>
      </c>
      <c r="L117" s="94"/>
      <c r="M117" s="160" t="s">
        <v>400</v>
      </c>
      <c r="N117" s="160" t="s">
        <v>429</v>
      </c>
      <c r="O117" s="159" t="s">
        <v>464</v>
      </c>
      <c r="P117" s="195" t="s">
        <v>465</v>
      </c>
      <c r="Q117" s="131"/>
      <c r="R117" s="131"/>
      <c r="S117" s="131"/>
    </row>
    <row r="118" spans="1:19" s="75" customFormat="1" ht="29.15">
      <c r="A118" s="188" t="s">
        <v>400</v>
      </c>
      <c r="B118" s="147" t="s">
        <v>429</v>
      </c>
      <c r="C118" s="144" t="s">
        <v>466</v>
      </c>
      <c r="D118" s="152" t="s">
        <v>467</v>
      </c>
      <c r="E118" s="97" t="s">
        <v>331</v>
      </c>
      <c r="F118" s="94"/>
      <c r="G118" s="94"/>
      <c r="H118" s="94"/>
      <c r="I118" s="94" t="b">
        <f>EXACT(C118,O118)</f>
        <v>1</v>
      </c>
      <c r="J118" s="94" t="b">
        <f>EXACT(D118,P118)</f>
        <v>1</v>
      </c>
      <c r="K118" s="94" t="s">
        <v>1568</v>
      </c>
      <c r="L118" s="94"/>
      <c r="M118" s="160" t="s">
        <v>400</v>
      </c>
      <c r="N118" s="160" t="s">
        <v>429</v>
      </c>
      <c r="O118" s="159" t="s">
        <v>466</v>
      </c>
      <c r="P118" s="195" t="s">
        <v>467</v>
      </c>
      <c r="Q118" s="131"/>
      <c r="R118" s="131"/>
      <c r="S118" s="131"/>
    </row>
    <row r="119" spans="1:19" s="75" customFormat="1" ht="62.15">
      <c r="A119" s="188" t="s">
        <v>400</v>
      </c>
      <c r="B119" s="147" t="s">
        <v>401</v>
      </c>
      <c r="C119" s="144" t="s">
        <v>406</v>
      </c>
      <c r="D119" s="145" t="s">
        <v>407</v>
      </c>
      <c r="E119" s="41"/>
      <c r="F119" s="93"/>
      <c r="G119" s="41"/>
      <c r="H119" s="76"/>
      <c r="I119" s="94" t="b">
        <f>EXACT(C119,O119)</f>
        <v>1</v>
      </c>
      <c r="J119" s="94" t="b">
        <f>EXACT(D119,P119)</f>
        <v>1</v>
      </c>
      <c r="K119" s="94" t="s">
        <v>1568</v>
      </c>
      <c r="L119" s="94"/>
      <c r="M119" s="160" t="s">
        <v>400</v>
      </c>
      <c r="N119" s="160" t="s">
        <v>401</v>
      </c>
      <c r="O119" s="159" t="s">
        <v>406</v>
      </c>
      <c r="P119" s="189" t="s">
        <v>407</v>
      </c>
      <c r="Q119" s="131"/>
      <c r="R119" s="131"/>
      <c r="S119" s="131"/>
    </row>
    <row r="120" spans="1:19" s="75" customFormat="1" ht="43.75">
      <c r="A120" s="188" t="s">
        <v>400</v>
      </c>
      <c r="B120" s="147" t="s">
        <v>429</v>
      </c>
      <c r="C120" s="144" t="s">
        <v>468</v>
      </c>
      <c r="D120" s="152" t="s">
        <v>469</v>
      </c>
      <c r="E120" s="97" t="s">
        <v>331</v>
      </c>
      <c r="F120" s="94"/>
      <c r="G120" s="94"/>
      <c r="H120" s="94"/>
      <c r="I120" s="94" t="b">
        <f>EXACT(C120,O120)</f>
        <v>1</v>
      </c>
      <c r="J120" s="94" t="b">
        <f>EXACT(D120,P120)</f>
        <v>1</v>
      </c>
      <c r="K120" s="94" t="s">
        <v>1568</v>
      </c>
      <c r="L120" s="94"/>
      <c r="M120" s="160" t="s">
        <v>400</v>
      </c>
      <c r="N120" s="160" t="s">
        <v>429</v>
      </c>
      <c r="O120" s="159" t="s">
        <v>468</v>
      </c>
      <c r="P120" s="195" t="s">
        <v>469</v>
      </c>
      <c r="Q120" s="131"/>
      <c r="R120" s="131"/>
      <c r="S120" s="131"/>
    </row>
    <row r="121" spans="1:19" s="75" customFormat="1" ht="43.75">
      <c r="A121" s="188" t="s">
        <v>400</v>
      </c>
      <c r="B121" s="147" t="s">
        <v>429</v>
      </c>
      <c r="C121" s="144" t="s">
        <v>470</v>
      </c>
      <c r="D121" s="152" t="s">
        <v>471</v>
      </c>
      <c r="E121" s="97" t="s">
        <v>331</v>
      </c>
      <c r="F121" s="94"/>
      <c r="G121" s="94"/>
      <c r="H121" s="94"/>
      <c r="I121" s="94" t="b">
        <f>EXACT(C121,O121)</f>
        <v>1</v>
      </c>
      <c r="J121" s="94" t="b">
        <f>EXACT(D121,P121)</f>
        <v>1</v>
      </c>
      <c r="K121" s="94" t="s">
        <v>1568</v>
      </c>
      <c r="L121" s="94"/>
      <c r="M121" s="160" t="s">
        <v>400</v>
      </c>
      <c r="N121" s="160" t="s">
        <v>429</v>
      </c>
      <c r="O121" s="159" t="s">
        <v>470</v>
      </c>
      <c r="P121" s="195" t="s">
        <v>471</v>
      </c>
      <c r="Q121" s="131"/>
      <c r="R121" s="131"/>
      <c r="S121" s="131"/>
    </row>
    <row r="122" spans="1:19" s="75" customFormat="1" ht="43.75">
      <c r="A122" s="188" t="s">
        <v>400</v>
      </c>
      <c r="B122" s="147" t="s">
        <v>429</v>
      </c>
      <c r="C122" s="144" t="s">
        <v>472</v>
      </c>
      <c r="D122" s="152" t="s">
        <v>473</v>
      </c>
      <c r="E122" s="97" t="s">
        <v>331</v>
      </c>
      <c r="F122" s="94"/>
      <c r="G122" s="94"/>
      <c r="H122" s="94"/>
      <c r="I122" s="94" t="b">
        <f>EXACT(C122,O122)</f>
        <v>1</v>
      </c>
      <c r="J122" s="94" t="b">
        <f>EXACT(D122,P122)</f>
        <v>1</v>
      </c>
      <c r="K122" s="94" t="s">
        <v>1568</v>
      </c>
      <c r="L122" s="94"/>
      <c r="M122" s="160" t="s">
        <v>400</v>
      </c>
      <c r="N122" s="160" t="s">
        <v>429</v>
      </c>
      <c r="O122" s="159" t="s">
        <v>472</v>
      </c>
      <c r="P122" s="195" t="s">
        <v>473</v>
      </c>
      <c r="Q122" s="131"/>
      <c r="R122" s="131"/>
      <c r="S122" s="131"/>
    </row>
    <row r="123" spans="1:19" s="75" customFormat="1" ht="37.299999999999997">
      <c r="A123" s="188" t="s">
        <v>400</v>
      </c>
      <c r="B123" s="147" t="s">
        <v>429</v>
      </c>
      <c r="C123" s="144" t="s">
        <v>474</v>
      </c>
      <c r="D123" s="145" t="s">
        <v>475</v>
      </c>
      <c r="E123" s="97"/>
      <c r="F123" s="94"/>
      <c r="G123" s="94"/>
      <c r="H123" s="94"/>
      <c r="I123" s="94" t="b">
        <f>EXACT(C123,O123)</f>
        <v>1</v>
      </c>
      <c r="J123" s="94" t="b">
        <f>EXACT(D123,P123)</f>
        <v>1</v>
      </c>
      <c r="K123" s="94" t="s">
        <v>1568</v>
      </c>
      <c r="L123" s="94"/>
      <c r="M123" s="160" t="s">
        <v>400</v>
      </c>
      <c r="N123" s="160" t="s">
        <v>418</v>
      </c>
      <c r="O123" s="159" t="s">
        <v>474</v>
      </c>
      <c r="P123" s="189" t="s">
        <v>475</v>
      </c>
      <c r="Q123" s="131"/>
      <c r="R123" s="131"/>
      <c r="S123" s="131"/>
    </row>
    <row r="124" spans="1:19" s="75" customFormat="1" ht="49.75">
      <c r="A124" s="188" t="s">
        <v>400</v>
      </c>
      <c r="B124" s="147" t="s">
        <v>401</v>
      </c>
      <c r="C124" s="144" t="s">
        <v>408</v>
      </c>
      <c r="D124" s="145" t="s">
        <v>409</v>
      </c>
      <c r="E124" s="41"/>
      <c r="F124" s="93"/>
      <c r="G124" s="41"/>
      <c r="H124" s="76"/>
      <c r="I124" s="94" t="b">
        <f>EXACT(C124,O124)</f>
        <v>1</v>
      </c>
      <c r="J124" s="94" t="b">
        <f>EXACT(D124,P124)</f>
        <v>1</v>
      </c>
      <c r="K124" s="94" t="s">
        <v>1568</v>
      </c>
      <c r="L124" s="94"/>
      <c r="M124" s="160" t="s">
        <v>400</v>
      </c>
      <c r="N124" s="160" t="s">
        <v>401</v>
      </c>
      <c r="O124" s="159" t="s">
        <v>408</v>
      </c>
      <c r="P124" s="189" t="s">
        <v>409</v>
      </c>
      <c r="Q124" s="131"/>
      <c r="R124" s="131"/>
      <c r="S124" s="131"/>
    </row>
    <row r="125" spans="1:19" s="75" customFormat="1" ht="49.75">
      <c r="A125" s="188" t="s">
        <v>400</v>
      </c>
      <c r="B125" s="147" t="s">
        <v>401</v>
      </c>
      <c r="C125" s="144" t="s">
        <v>410</v>
      </c>
      <c r="D125" s="145" t="s">
        <v>411</v>
      </c>
      <c r="E125" s="41"/>
      <c r="F125" s="93"/>
      <c r="G125" s="41"/>
      <c r="H125" s="76"/>
      <c r="I125" s="94" t="b">
        <f>EXACT(C125,O125)</f>
        <v>1</v>
      </c>
      <c r="J125" s="94" t="b">
        <f>EXACT(D125,P125)</f>
        <v>1</v>
      </c>
      <c r="K125" s="94" t="s">
        <v>1568</v>
      </c>
      <c r="L125" s="94"/>
      <c r="M125" s="160" t="s">
        <v>400</v>
      </c>
      <c r="N125" s="160" t="s">
        <v>401</v>
      </c>
      <c r="O125" s="159" t="s">
        <v>410</v>
      </c>
      <c r="P125" s="189" t="s">
        <v>411</v>
      </c>
      <c r="Q125" s="131"/>
      <c r="R125" s="131"/>
      <c r="S125" s="131"/>
    </row>
    <row r="126" spans="1:19" s="75" customFormat="1" ht="29.15">
      <c r="A126" s="188" t="s">
        <v>400</v>
      </c>
      <c r="B126" s="147" t="s">
        <v>401</v>
      </c>
      <c r="C126" s="144" t="s">
        <v>412</v>
      </c>
      <c r="D126" s="152" t="s">
        <v>413</v>
      </c>
      <c r="E126" s="97" t="s">
        <v>331</v>
      </c>
      <c r="F126" s="94"/>
      <c r="G126" s="94"/>
      <c r="H126" s="94"/>
      <c r="I126" s="94" t="b">
        <f>EXACT(C126,O126)</f>
        <v>1</v>
      </c>
      <c r="J126" s="94" t="b">
        <f>EXACT(D126,P126)</f>
        <v>1</v>
      </c>
      <c r="K126" s="94" t="s">
        <v>1568</v>
      </c>
      <c r="L126" s="94"/>
      <c r="M126" s="160" t="s">
        <v>400</v>
      </c>
      <c r="N126" s="160" t="s">
        <v>401</v>
      </c>
      <c r="O126" s="159" t="s">
        <v>412</v>
      </c>
      <c r="P126" s="195" t="s">
        <v>413</v>
      </c>
      <c r="Q126" s="131"/>
      <c r="R126" s="131"/>
      <c r="S126" s="131"/>
    </row>
    <row r="127" spans="1:19" s="75" customFormat="1" ht="29.15">
      <c r="A127" s="188" t="s">
        <v>400</v>
      </c>
      <c r="B127" s="147" t="s">
        <v>401</v>
      </c>
      <c r="C127" s="144" t="s">
        <v>414</v>
      </c>
      <c r="D127" s="152" t="s">
        <v>415</v>
      </c>
      <c r="E127" s="97"/>
      <c r="F127" s="94"/>
      <c r="G127" s="94"/>
      <c r="H127" s="94"/>
      <c r="I127" s="94" t="b">
        <f>EXACT(C127,O127)</f>
        <v>1</v>
      </c>
      <c r="J127" s="94" t="b">
        <f>EXACT(D127,P127)</f>
        <v>1</v>
      </c>
      <c r="K127" s="94" t="s">
        <v>1568</v>
      </c>
      <c r="L127" s="94"/>
      <c r="M127" s="160" t="s">
        <v>400</v>
      </c>
      <c r="N127" s="160" t="s">
        <v>401</v>
      </c>
      <c r="O127" s="159" t="s">
        <v>414</v>
      </c>
      <c r="P127" s="195" t="s">
        <v>415</v>
      </c>
      <c r="Q127" s="131"/>
      <c r="R127" s="131"/>
      <c r="S127" s="131"/>
    </row>
    <row r="128" spans="1:19" s="75" customFormat="1" ht="43.75">
      <c r="A128" s="188" t="s">
        <v>400</v>
      </c>
      <c r="B128" s="147" t="s">
        <v>429</v>
      </c>
      <c r="C128" s="144" t="s">
        <v>476</v>
      </c>
      <c r="D128" s="152" t="s">
        <v>477</v>
      </c>
      <c r="E128" s="97"/>
      <c r="F128" s="94"/>
      <c r="G128" s="94"/>
      <c r="H128" s="94"/>
      <c r="I128" s="94" t="b">
        <f>EXACT(C128,O128)</f>
        <v>1</v>
      </c>
      <c r="J128" s="94" t="b">
        <f>EXACT(D128,P128)</f>
        <v>1</v>
      </c>
      <c r="K128" s="94" t="s">
        <v>1568</v>
      </c>
      <c r="L128" s="94"/>
      <c r="M128" s="160" t="s">
        <v>400</v>
      </c>
      <c r="N128" s="160" t="s">
        <v>429</v>
      </c>
      <c r="O128" s="159" t="s">
        <v>476</v>
      </c>
      <c r="P128" s="195" t="s">
        <v>477</v>
      </c>
      <c r="Q128" s="130"/>
      <c r="R128" s="130"/>
      <c r="S128" s="130"/>
    </row>
    <row r="129" spans="1:19" s="75" customFormat="1" ht="43.75">
      <c r="A129" s="188" t="s">
        <v>400</v>
      </c>
      <c r="B129" s="147" t="s">
        <v>429</v>
      </c>
      <c r="C129" s="144" t="s">
        <v>478</v>
      </c>
      <c r="D129" s="152" t="s">
        <v>479</v>
      </c>
      <c r="E129" s="97" t="s">
        <v>331</v>
      </c>
      <c r="F129" s="94"/>
      <c r="G129" s="94"/>
      <c r="H129" s="94"/>
      <c r="I129" s="94" t="b">
        <f>EXACT(C129,O129)</f>
        <v>1</v>
      </c>
      <c r="J129" s="94" t="b">
        <f>EXACT(D129,P129)</f>
        <v>1</v>
      </c>
      <c r="K129" s="94" t="s">
        <v>1568</v>
      </c>
      <c r="L129" s="94"/>
      <c r="M129" s="160" t="s">
        <v>400</v>
      </c>
      <c r="N129" s="160" t="s">
        <v>429</v>
      </c>
      <c r="O129" s="159" t="s">
        <v>478</v>
      </c>
      <c r="P129" s="195" t="s">
        <v>479</v>
      </c>
      <c r="Q129" s="130"/>
      <c r="R129" s="130"/>
      <c r="S129" s="130"/>
    </row>
    <row r="130" spans="1:19" s="75" customFormat="1" ht="14.6">
      <c r="A130" s="188" t="s">
        <v>400</v>
      </c>
      <c r="B130" s="147" t="s">
        <v>418</v>
      </c>
      <c r="C130" s="144" t="s">
        <v>421</v>
      </c>
      <c r="D130" s="145" t="s">
        <v>422</v>
      </c>
      <c r="E130" s="97"/>
      <c r="F130" s="94"/>
      <c r="G130" s="94"/>
      <c r="H130" s="94"/>
      <c r="I130" s="94" t="b">
        <f>EXACT(C130,O130)</f>
        <v>1</v>
      </c>
      <c r="J130" s="94" t="b">
        <f>EXACT(D130,P130)</f>
        <v>1</v>
      </c>
      <c r="K130" s="94" t="s">
        <v>1568</v>
      </c>
      <c r="L130" s="94"/>
      <c r="M130" s="160" t="s">
        <v>400</v>
      </c>
      <c r="N130" s="160" t="s">
        <v>418</v>
      </c>
      <c r="O130" s="159" t="s">
        <v>421</v>
      </c>
      <c r="P130" s="189" t="s">
        <v>422</v>
      </c>
      <c r="Q130" s="130"/>
      <c r="R130" s="130"/>
      <c r="S130" s="130"/>
    </row>
    <row r="131" spans="1:19" s="75" customFormat="1" ht="29.15">
      <c r="A131" s="188" t="s">
        <v>400</v>
      </c>
      <c r="B131" s="147" t="s">
        <v>401</v>
      </c>
      <c r="C131" s="144" t="s">
        <v>416</v>
      </c>
      <c r="D131" s="152" t="s">
        <v>417</v>
      </c>
      <c r="E131" s="97" t="s">
        <v>331</v>
      </c>
      <c r="F131" s="94"/>
      <c r="G131" s="94"/>
      <c r="H131" s="94"/>
      <c r="I131" s="94" t="b">
        <f>EXACT(C131,O131)</f>
        <v>1</v>
      </c>
      <c r="J131" s="94" t="b">
        <f>EXACT(D131,P131)</f>
        <v>1</v>
      </c>
      <c r="K131" s="94" t="s">
        <v>1568</v>
      </c>
      <c r="L131" s="94"/>
      <c r="M131" s="160" t="s">
        <v>400</v>
      </c>
      <c r="N131" s="160" t="s">
        <v>401</v>
      </c>
      <c r="O131" s="159" t="s">
        <v>416</v>
      </c>
      <c r="P131" s="195" t="s">
        <v>417</v>
      </c>
      <c r="Q131" s="130"/>
      <c r="R131" s="130"/>
      <c r="S131" s="130"/>
    </row>
    <row r="132" spans="1:19" s="75" customFormat="1" ht="62.15">
      <c r="A132" s="188" t="s">
        <v>400</v>
      </c>
      <c r="B132" s="147" t="s">
        <v>418</v>
      </c>
      <c r="C132" s="144" t="s">
        <v>423</v>
      </c>
      <c r="D132" s="145" t="s">
        <v>424</v>
      </c>
      <c r="E132" s="97"/>
      <c r="F132" s="94"/>
      <c r="G132" s="94"/>
      <c r="H132" s="94"/>
      <c r="I132" s="94" t="b">
        <f>EXACT(C132,O132)</f>
        <v>1</v>
      </c>
      <c r="J132" s="94" t="b">
        <f>EXACT(D132,P132)</f>
        <v>1</v>
      </c>
      <c r="K132" s="94" t="s">
        <v>1568</v>
      </c>
      <c r="L132" s="94"/>
      <c r="M132" s="160" t="s">
        <v>400</v>
      </c>
      <c r="N132" s="160" t="s">
        <v>418</v>
      </c>
      <c r="O132" s="159" t="s">
        <v>423</v>
      </c>
      <c r="P132" s="189" t="s">
        <v>424</v>
      </c>
      <c r="Q132" s="130"/>
      <c r="R132" s="130"/>
      <c r="S132" s="130"/>
    </row>
    <row r="133" spans="1:19" s="75" customFormat="1" ht="14.6">
      <c r="A133" s="188" t="s">
        <v>400</v>
      </c>
      <c r="B133" s="147" t="s">
        <v>418</v>
      </c>
      <c r="C133" s="144" t="s">
        <v>425</v>
      </c>
      <c r="D133" s="146" t="s">
        <v>426</v>
      </c>
      <c r="E133" s="41"/>
      <c r="F133" s="93"/>
      <c r="G133" s="41"/>
      <c r="H133" s="137"/>
      <c r="I133" s="94" t="b">
        <f>EXACT(C133,O133)</f>
        <v>1</v>
      </c>
      <c r="J133" s="94" t="b">
        <f>EXACT(D133,P133)</f>
        <v>1</v>
      </c>
      <c r="K133" s="94" t="s">
        <v>1568</v>
      </c>
      <c r="L133" s="94"/>
      <c r="M133" s="160" t="s">
        <v>400</v>
      </c>
      <c r="N133" s="160" t="s">
        <v>418</v>
      </c>
      <c r="O133" s="159" t="s">
        <v>425</v>
      </c>
      <c r="P133" s="190" t="s">
        <v>426</v>
      </c>
      <c r="Q133" s="130"/>
      <c r="R133" s="130"/>
      <c r="S133" s="130"/>
    </row>
    <row r="134" spans="1:19" s="75" customFormat="1" ht="37.299999999999997">
      <c r="A134" s="188" t="s">
        <v>400</v>
      </c>
      <c r="B134" s="147" t="s">
        <v>418</v>
      </c>
      <c r="C134" s="144" t="s">
        <v>427</v>
      </c>
      <c r="D134" s="145" t="s">
        <v>428</v>
      </c>
      <c r="E134" s="97"/>
      <c r="F134" s="94"/>
      <c r="G134" s="94"/>
      <c r="H134" s="94"/>
      <c r="I134" s="94" t="b">
        <f>EXACT(C134,O134)</f>
        <v>1</v>
      </c>
      <c r="J134" s="94" t="b">
        <f>EXACT(D134,P134)</f>
        <v>1</v>
      </c>
      <c r="K134" s="94" t="s">
        <v>1568</v>
      </c>
      <c r="L134" s="94"/>
      <c r="M134" s="160" t="s">
        <v>400</v>
      </c>
      <c r="N134" s="160" t="s">
        <v>418</v>
      </c>
      <c r="O134" s="159" t="s">
        <v>427</v>
      </c>
      <c r="P134" s="189" t="s">
        <v>428</v>
      </c>
      <c r="Q134" s="130"/>
      <c r="R134" s="130"/>
      <c r="S134" s="130"/>
    </row>
    <row r="135" spans="1:19" s="75" customFormat="1" ht="43.75">
      <c r="A135" s="188" t="s">
        <v>400</v>
      </c>
      <c r="B135" s="147" t="s">
        <v>429</v>
      </c>
      <c r="C135" s="144" t="s">
        <v>480</v>
      </c>
      <c r="D135" s="152" t="s">
        <v>481</v>
      </c>
      <c r="E135" s="97"/>
      <c r="F135" s="94"/>
      <c r="G135" s="94"/>
      <c r="H135" s="94"/>
      <c r="I135" s="94" t="b">
        <f>EXACT(C135,O135)</f>
        <v>1</v>
      </c>
      <c r="J135" s="94" t="b">
        <f>EXACT(D135,P135)</f>
        <v>1</v>
      </c>
      <c r="K135" s="94" t="s">
        <v>1568</v>
      </c>
      <c r="L135" s="94"/>
      <c r="M135" s="160" t="s">
        <v>400</v>
      </c>
      <c r="N135" s="160" t="s">
        <v>429</v>
      </c>
      <c r="O135" s="159" t="s">
        <v>480</v>
      </c>
      <c r="P135" s="195" t="s">
        <v>481</v>
      </c>
      <c r="Q135" s="130"/>
      <c r="R135" s="130"/>
      <c r="S135" s="130"/>
    </row>
    <row r="136" spans="1:19" s="75" customFormat="1" ht="29.15">
      <c r="A136" s="188" t="s">
        <v>400</v>
      </c>
      <c r="B136" s="147" t="s">
        <v>429</v>
      </c>
      <c r="C136" s="144" t="s">
        <v>482</v>
      </c>
      <c r="D136" s="152" t="s">
        <v>483</v>
      </c>
      <c r="E136" s="97"/>
      <c r="F136" s="94"/>
      <c r="G136" s="94"/>
      <c r="H136" s="94"/>
      <c r="I136" s="94" t="b">
        <f>EXACT(C136,O136)</f>
        <v>1</v>
      </c>
      <c r="J136" s="94" t="b">
        <f>EXACT(D136,P136)</f>
        <v>1</v>
      </c>
      <c r="K136" s="94" t="s">
        <v>1568</v>
      </c>
      <c r="L136" s="94"/>
      <c r="M136" s="160" t="s">
        <v>400</v>
      </c>
      <c r="N136" s="160" t="s">
        <v>429</v>
      </c>
      <c r="O136" s="159" t="s">
        <v>482</v>
      </c>
      <c r="P136" s="195" t="s">
        <v>483</v>
      </c>
      <c r="Q136" s="130"/>
      <c r="R136" s="130"/>
      <c r="S136" s="130"/>
    </row>
    <row r="137" spans="1:19" s="75" customFormat="1" ht="29.15">
      <c r="A137" s="188" t="s">
        <v>400</v>
      </c>
      <c r="B137" s="147" t="s">
        <v>429</v>
      </c>
      <c r="C137" s="144" t="s">
        <v>484</v>
      </c>
      <c r="D137" s="152" t="s">
        <v>485</v>
      </c>
      <c r="E137" s="97"/>
      <c r="F137" s="94"/>
      <c r="G137" s="94"/>
      <c r="H137" s="94"/>
      <c r="I137" s="94" t="b">
        <f>EXACT(C137,O137)</f>
        <v>1</v>
      </c>
      <c r="J137" s="94" t="b">
        <f>EXACT(D137,P137)</f>
        <v>1</v>
      </c>
      <c r="K137" s="94" t="s">
        <v>1568</v>
      </c>
      <c r="L137" s="94"/>
      <c r="M137" s="160" t="s">
        <v>400</v>
      </c>
      <c r="N137" s="160" t="s">
        <v>429</v>
      </c>
      <c r="O137" s="159" t="s">
        <v>484</v>
      </c>
      <c r="P137" s="195" t="s">
        <v>485</v>
      </c>
      <c r="Q137" s="130"/>
      <c r="R137" s="130"/>
      <c r="S137" s="130"/>
    </row>
    <row r="138" spans="1:19" s="75" customFormat="1" ht="49.75">
      <c r="A138" s="196" t="s">
        <v>490</v>
      </c>
      <c r="B138" s="153" t="s">
        <v>491</v>
      </c>
      <c r="C138" s="144" t="s">
        <v>492</v>
      </c>
      <c r="D138" s="145" t="s">
        <v>493</v>
      </c>
      <c r="E138" s="41"/>
      <c r="F138" s="93"/>
      <c r="G138" s="41"/>
      <c r="H138" s="76"/>
      <c r="I138" s="94" t="b">
        <f>EXACT(C138,O138)</f>
        <v>1</v>
      </c>
      <c r="J138" s="94" t="b">
        <f>EXACT(D138,P138)</f>
        <v>1</v>
      </c>
      <c r="K138" s="94" t="s">
        <v>1568</v>
      </c>
      <c r="L138" s="94"/>
      <c r="M138" s="162" t="s">
        <v>490</v>
      </c>
      <c r="N138" s="162" t="s">
        <v>491</v>
      </c>
      <c r="O138" s="163" t="s">
        <v>492</v>
      </c>
      <c r="P138" s="197" t="s">
        <v>493</v>
      </c>
      <c r="Q138" s="130"/>
      <c r="R138" s="130"/>
      <c r="S138" s="130"/>
    </row>
    <row r="139" spans="1:19" s="75" customFormat="1" ht="24.9">
      <c r="A139" s="188" t="s">
        <v>490</v>
      </c>
      <c r="B139" s="153" t="s">
        <v>491</v>
      </c>
      <c r="C139" s="144" t="s">
        <v>494</v>
      </c>
      <c r="D139" s="145" t="s">
        <v>495</v>
      </c>
      <c r="E139" s="97" t="s">
        <v>331</v>
      </c>
      <c r="F139" s="93"/>
      <c r="G139" s="41"/>
      <c r="H139" s="76"/>
      <c r="I139" s="94" t="b">
        <f>EXACT(C139,O139)</f>
        <v>1</v>
      </c>
      <c r="J139" s="94" t="b">
        <f>EXACT(D139,P139)</f>
        <v>1</v>
      </c>
      <c r="K139" s="94" t="s">
        <v>1568</v>
      </c>
      <c r="L139" s="94"/>
      <c r="M139" s="164" t="s">
        <v>490</v>
      </c>
      <c r="N139" s="162" t="s">
        <v>491</v>
      </c>
      <c r="O139" s="163" t="s">
        <v>494</v>
      </c>
      <c r="P139" s="197" t="s">
        <v>495</v>
      </c>
      <c r="Q139" s="130"/>
      <c r="R139" s="130"/>
      <c r="S139" s="130"/>
    </row>
    <row r="140" spans="1:19" s="75" customFormat="1" ht="24.9">
      <c r="A140" s="198" t="s">
        <v>1124</v>
      </c>
      <c r="B140" s="144" t="s">
        <v>1125</v>
      </c>
      <c r="C140" s="144" t="s">
        <v>1126</v>
      </c>
      <c r="D140" s="145" t="s">
        <v>1127</v>
      </c>
      <c r="E140" s="97"/>
      <c r="F140" s="94"/>
      <c r="G140" s="94"/>
      <c r="H140" s="94" t="s">
        <v>1128</v>
      </c>
      <c r="I140" s="94" t="b">
        <f>EXACT(C140,O140)</f>
        <v>1</v>
      </c>
      <c r="J140" s="94" t="b">
        <f>EXACT(D140,P140)</f>
        <v>1</v>
      </c>
      <c r="K140" s="94" t="s">
        <v>1568</v>
      </c>
      <c r="L140" s="94"/>
      <c r="M140" s="159" t="s">
        <v>1396</v>
      </c>
      <c r="N140" s="159" t="s">
        <v>1397</v>
      </c>
      <c r="O140" s="159" t="s">
        <v>1126</v>
      </c>
      <c r="P140" s="189" t="s">
        <v>1127</v>
      </c>
      <c r="Q140" s="130"/>
      <c r="R140" s="130"/>
      <c r="S140" s="130"/>
    </row>
    <row r="141" spans="1:19" s="75" customFormat="1" ht="99.45">
      <c r="A141" s="188" t="s">
        <v>490</v>
      </c>
      <c r="B141" s="153" t="s">
        <v>491</v>
      </c>
      <c r="C141" s="144" t="s">
        <v>496</v>
      </c>
      <c r="D141" s="145" t="s">
        <v>497</v>
      </c>
      <c r="E141" s="41"/>
      <c r="F141" s="93"/>
      <c r="G141" s="41"/>
      <c r="H141" s="76"/>
      <c r="I141" s="94" t="b">
        <f>EXACT(C141,O141)</f>
        <v>1</v>
      </c>
      <c r="J141" s="94" t="b">
        <f>EXACT(D141,P141)</f>
        <v>1</v>
      </c>
      <c r="K141" s="94" t="s">
        <v>1568</v>
      </c>
      <c r="L141" s="94"/>
      <c r="M141" s="164" t="s">
        <v>490</v>
      </c>
      <c r="N141" s="162" t="s">
        <v>491</v>
      </c>
      <c r="O141" s="163" t="s">
        <v>496</v>
      </c>
      <c r="P141" s="197" t="s">
        <v>497</v>
      </c>
      <c r="Q141" s="130"/>
      <c r="R141" s="130"/>
      <c r="S141" s="130"/>
    </row>
    <row r="142" spans="1:19" s="75" customFormat="1" ht="37.299999999999997">
      <c r="A142" s="188" t="s">
        <v>490</v>
      </c>
      <c r="B142" s="153" t="s">
        <v>491</v>
      </c>
      <c r="C142" s="144" t="s">
        <v>498</v>
      </c>
      <c r="D142" s="145" t="s">
        <v>499</v>
      </c>
      <c r="E142" s="41"/>
      <c r="F142" s="93"/>
      <c r="G142" s="41"/>
      <c r="H142" s="76"/>
      <c r="I142" s="94" t="b">
        <f>EXACT(C142,O142)</f>
        <v>1</v>
      </c>
      <c r="J142" s="94" t="b">
        <f>EXACT(D142,P142)</f>
        <v>1</v>
      </c>
      <c r="K142" s="94" t="s">
        <v>1568</v>
      </c>
      <c r="L142" s="94"/>
      <c r="M142" s="164" t="s">
        <v>490</v>
      </c>
      <c r="N142" s="162" t="s">
        <v>491</v>
      </c>
      <c r="O142" s="163" t="s">
        <v>498</v>
      </c>
      <c r="P142" s="197" t="s">
        <v>499</v>
      </c>
      <c r="Q142" s="130"/>
      <c r="R142" s="130"/>
      <c r="S142" s="130"/>
    </row>
    <row r="143" spans="1:19" s="75" customFormat="1" ht="14.6">
      <c r="A143" s="188" t="s">
        <v>490</v>
      </c>
      <c r="B143" s="153" t="s">
        <v>491</v>
      </c>
      <c r="C143" s="144" t="s">
        <v>500</v>
      </c>
      <c r="D143" s="145" t="s">
        <v>501</v>
      </c>
      <c r="E143" s="41"/>
      <c r="F143" s="93"/>
      <c r="G143" s="41"/>
      <c r="H143" s="76"/>
      <c r="I143" s="94" t="b">
        <f>EXACT(C143,O143)</f>
        <v>1</v>
      </c>
      <c r="J143" s="94" t="b">
        <f>EXACT(D143,P143)</f>
        <v>1</v>
      </c>
      <c r="K143" s="94" t="s">
        <v>1568</v>
      </c>
      <c r="L143" s="94"/>
      <c r="M143" s="164" t="s">
        <v>490</v>
      </c>
      <c r="N143" s="162" t="s">
        <v>491</v>
      </c>
      <c r="O143" s="163" t="s">
        <v>500</v>
      </c>
      <c r="P143" s="197" t="s">
        <v>501</v>
      </c>
      <c r="Q143" s="130"/>
      <c r="R143" s="130"/>
      <c r="S143" s="130"/>
    </row>
    <row r="144" spans="1:19" s="75" customFormat="1" ht="24.9">
      <c r="A144" s="196" t="s">
        <v>490</v>
      </c>
      <c r="B144" s="153" t="s">
        <v>491</v>
      </c>
      <c r="C144" s="144" t="s">
        <v>536</v>
      </c>
      <c r="D144" s="145" t="s">
        <v>537</v>
      </c>
      <c r="E144" s="97"/>
      <c r="F144" s="94"/>
      <c r="G144" s="94"/>
      <c r="H144" s="94"/>
      <c r="I144" s="94" t="b">
        <f>EXACT(C144,O144)</f>
        <v>1</v>
      </c>
      <c r="J144" s="94" t="b">
        <f>EXACT(D144,P144)</f>
        <v>1</v>
      </c>
      <c r="K144" s="94" t="s">
        <v>1568</v>
      </c>
      <c r="L144" s="94"/>
      <c r="M144" s="165" t="s">
        <v>490</v>
      </c>
      <c r="N144" s="165" t="s">
        <v>491</v>
      </c>
      <c r="O144" s="163" t="s">
        <v>536</v>
      </c>
      <c r="P144" s="197" t="s">
        <v>537</v>
      </c>
      <c r="Q144" s="131"/>
      <c r="R144" s="131"/>
      <c r="S144" s="131"/>
    </row>
    <row r="145" spans="1:19" s="75" customFormat="1" ht="24.9">
      <c r="A145" s="198" t="s">
        <v>1124</v>
      </c>
      <c r="B145" s="144" t="s">
        <v>1125</v>
      </c>
      <c r="C145" s="144" t="s">
        <v>1129</v>
      </c>
      <c r="D145" s="145" t="s">
        <v>1130</v>
      </c>
      <c r="E145" s="97"/>
      <c r="F145" s="94"/>
      <c r="G145" s="94"/>
      <c r="H145" s="94" t="s">
        <v>1128</v>
      </c>
      <c r="I145" s="94" t="b">
        <f>EXACT(C145,O145)</f>
        <v>1</v>
      </c>
      <c r="J145" s="94" t="b">
        <f>EXACT(D145,P145)</f>
        <v>1</v>
      </c>
      <c r="K145" s="94" t="s">
        <v>1568</v>
      </c>
      <c r="L145" s="94"/>
      <c r="M145" s="159" t="s">
        <v>1396</v>
      </c>
      <c r="N145" s="159" t="s">
        <v>1397</v>
      </c>
      <c r="O145" s="159" t="s">
        <v>1129</v>
      </c>
      <c r="P145" s="189" t="s">
        <v>1130</v>
      </c>
      <c r="Q145" s="131"/>
      <c r="R145" s="131"/>
      <c r="S145" s="131"/>
    </row>
    <row r="146" spans="1:19" s="75" customFormat="1" ht="99.45">
      <c r="A146" s="188" t="s">
        <v>486</v>
      </c>
      <c r="B146" s="153" t="s">
        <v>487</v>
      </c>
      <c r="C146" s="144" t="s">
        <v>488</v>
      </c>
      <c r="D146" s="145" t="s">
        <v>489</v>
      </c>
      <c r="E146" s="97"/>
      <c r="F146" s="94"/>
      <c r="G146" s="94"/>
      <c r="H146" s="94"/>
      <c r="I146" s="94" t="b">
        <f>EXACT(C146,O146)</f>
        <v>1</v>
      </c>
      <c r="J146" s="94" t="b">
        <f>EXACT(D146,P146)</f>
        <v>1</v>
      </c>
      <c r="K146" s="94" t="s">
        <v>1568</v>
      </c>
      <c r="L146" s="94"/>
      <c r="M146" s="160" t="s">
        <v>486</v>
      </c>
      <c r="N146" s="166" t="s">
        <v>487</v>
      </c>
      <c r="O146" s="159" t="s">
        <v>488</v>
      </c>
      <c r="P146" s="189" t="s">
        <v>489</v>
      </c>
      <c r="Q146" s="131"/>
      <c r="R146" s="131"/>
      <c r="S146" s="131"/>
    </row>
    <row r="147" spans="1:19" s="75" customFormat="1" ht="14.6">
      <c r="A147" s="196" t="s">
        <v>490</v>
      </c>
      <c r="B147" s="153" t="s">
        <v>491</v>
      </c>
      <c r="C147" s="144" t="s">
        <v>502</v>
      </c>
      <c r="D147" s="145" t="s">
        <v>503</v>
      </c>
      <c r="E147" s="41"/>
      <c r="F147" s="93"/>
      <c r="G147" s="41"/>
      <c r="H147" s="76"/>
      <c r="I147" s="94" t="b">
        <f>EXACT(C147,O147)</f>
        <v>1</v>
      </c>
      <c r="J147" s="94" t="b">
        <f>EXACT(D147,P147)</f>
        <v>1</v>
      </c>
      <c r="K147" s="94" t="s">
        <v>1568</v>
      </c>
      <c r="L147" s="94"/>
      <c r="M147" s="162" t="s">
        <v>490</v>
      </c>
      <c r="N147" s="162" t="s">
        <v>491</v>
      </c>
      <c r="O147" s="163" t="s">
        <v>502</v>
      </c>
      <c r="P147" s="197" t="s">
        <v>503</v>
      </c>
      <c r="Q147" s="131"/>
      <c r="R147" s="131"/>
      <c r="S147" s="131"/>
    </row>
    <row r="148" spans="1:19" s="75" customFormat="1" ht="49.75">
      <c r="A148" s="196" t="s">
        <v>490</v>
      </c>
      <c r="B148" s="153" t="s">
        <v>491</v>
      </c>
      <c r="C148" s="144" t="s">
        <v>504</v>
      </c>
      <c r="D148" s="145" t="s">
        <v>505</v>
      </c>
      <c r="E148" s="41"/>
      <c r="F148" s="93"/>
      <c r="G148" s="41"/>
      <c r="H148" s="76"/>
      <c r="I148" s="94" t="b">
        <f>EXACT(C148,O148)</f>
        <v>1</v>
      </c>
      <c r="J148" s="94" t="b">
        <f>EXACT(D148,P148)</f>
        <v>1</v>
      </c>
      <c r="K148" s="94" t="s">
        <v>1568</v>
      </c>
      <c r="L148" s="94"/>
      <c r="M148" s="162" t="s">
        <v>490</v>
      </c>
      <c r="N148" s="162" t="s">
        <v>491</v>
      </c>
      <c r="O148" s="163" t="s">
        <v>504</v>
      </c>
      <c r="P148" s="197" t="s">
        <v>505</v>
      </c>
      <c r="Q148" s="131"/>
      <c r="R148" s="131"/>
      <c r="S148" s="131"/>
    </row>
    <row r="149" spans="1:19" s="75" customFormat="1" ht="49.75">
      <c r="A149" s="196" t="s">
        <v>490</v>
      </c>
      <c r="B149" s="153" t="s">
        <v>491</v>
      </c>
      <c r="C149" s="144" t="s">
        <v>506</v>
      </c>
      <c r="D149" s="145" t="s">
        <v>507</v>
      </c>
      <c r="E149" s="41" t="s">
        <v>331</v>
      </c>
      <c r="F149" s="93"/>
      <c r="G149" s="41"/>
      <c r="H149" s="76"/>
      <c r="I149" s="94" t="b">
        <f>EXACT(C149,O149)</f>
        <v>1</v>
      </c>
      <c r="J149" s="94" t="b">
        <f>EXACT(D149,P149)</f>
        <v>1</v>
      </c>
      <c r="K149" s="94" t="s">
        <v>1568</v>
      </c>
      <c r="L149" s="94"/>
      <c r="M149" s="162" t="s">
        <v>490</v>
      </c>
      <c r="N149" s="162" t="s">
        <v>491</v>
      </c>
      <c r="O149" s="163" t="s">
        <v>506</v>
      </c>
      <c r="P149" s="197" t="s">
        <v>507</v>
      </c>
      <c r="Q149" s="131"/>
      <c r="R149" s="131"/>
      <c r="S149" s="131"/>
    </row>
    <row r="150" spans="1:19" s="75" customFormat="1" ht="49.75">
      <c r="A150" s="196" t="s">
        <v>490</v>
      </c>
      <c r="B150" s="153" t="s">
        <v>491</v>
      </c>
      <c r="C150" s="144" t="s">
        <v>508</v>
      </c>
      <c r="D150" s="145" t="s">
        <v>509</v>
      </c>
      <c r="E150" s="41" t="s">
        <v>331</v>
      </c>
      <c r="F150" s="93"/>
      <c r="G150" s="41"/>
      <c r="H150" s="76"/>
      <c r="I150" s="94" t="b">
        <f>EXACT(C150,O150)</f>
        <v>1</v>
      </c>
      <c r="J150" s="94" t="b">
        <f>EXACT(D150,P150)</f>
        <v>1</v>
      </c>
      <c r="K150" s="94" t="s">
        <v>1568</v>
      </c>
      <c r="L150" s="94"/>
      <c r="M150" s="162" t="s">
        <v>490</v>
      </c>
      <c r="N150" s="162" t="s">
        <v>491</v>
      </c>
      <c r="O150" s="163" t="s">
        <v>508</v>
      </c>
      <c r="P150" s="197" t="s">
        <v>509</v>
      </c>
      <c r="Q150" s="131"/>
      <c r="R150" s="131"/>
      <c r="S150" s="131"/>
    </row>
    <row r="151" spans="1:19" s="75" customFormat="1" ht="49.75">
      <c r="A151" s="196" t="s">
        <v>490</v>
      </c>
      <c r="B151" s="153" t="s">
        <v>491</v>
      </c>
      <c r="C151" s="144" t="s">
        <v>510</v>
      </c>
      <c r="D151" s="145" t="s">
        <v>511</v>
      </c>
      <c r="E151" s="41" t="s">
        <v>331</v>
      </c>
      <c r="F151" s="93"/>
      <c r="G151" s="41"/>
      <c r="H151" s="76"/>
      <c r="I151" s="94" t="b">
        <f>EXACT(C151,O151)</f>
        <v>1</v>
      </c>
      <c r="J151" s="94" t="b">
        <f>EXACT(D151,P151)</f>
        <v>1</v>
      </c>
      <c r="K151" s="94" t="s">
        <v>1568</v>
      </c>
      <c r="L151" s="94"/>
      <c r="M151" s="162" t="s">
        <v>490</v>
      </c>
      <c r="N151" s="162" t="s">
        <v>491</v>
      </c>
      <c r="O151" s="163" t="s">
        <v>510</v>
      </c>
      <c r="P151" s="197" t="s">
        <v>511</v>
      </c>
      <c r="Q151" s="131"/>
      <c r="R151" s="131"/>
      <c r="S151" s="131"/>
    </row>
    <row r="152" spans="1:19" s="75" customFormat="1" ht="49.75">
      <c r="A152" s="196" t="s">
        <v>490</v>
      </c>
      <c r="B152" s="153" t="s">
        <v>491</v>
      </c>
      <c r="C152" s="144" t="s">
        <v>512</v>
      </c>
      <c r="D152" s="145" t="s">
        <v>513</v>
      </c>
      <c r="E152" s="41" t="s">
        <v>331</v>
      </c>
      <c r="F152" s="93"/>
      <c r="G152" s="41"/>
      <c r="H152" s="76"/>
      <c r="I152" s="94" t="b">
        <f>EXACT(C152,O152)</f>
        <v>1</v>
      </c>
      <c r="J152" s="94" t="b">
        <f>EXACT(D152,P152)</f>
        <v>1</v>
      </c>
      <c r="K152" s="94" t="s">
        <v>1568</v>
      </c>
      <c r="L152" s="94"/>
      <c r="M152" s="162" t="s">
        <v>490</v>
      </c>
      <c r="N152" s="162" t="s">
        <v>491</v>
      </c>
      <c r="O152" s="163" t="s">
        <v>512</v>
      </c>
      <c r="P152" s="197" t="s">
        <v>513</v>
      </c>
      <c r="Q152" s="131"/>
      <c r="R152" s="131"/>
      <c r="S152" s="131"/>
    </row>
    <row r="153" spans="1:19" s="75" customFormat="1" ht="14.6">
      <c r="A153" s="196" t="s">
        <v>490</v>
      </c>
      <c r="B153" s="153" t="s">
        <v>491</v>
      </c>
      <c r="C153" s="144" t="s">
        <v>514</v>
      </c>
      <c r="D153" s="145" t="s">
        <v>515</v>
      </c>
      <c r="E153" s="41" t="s">
        <v>331</v>
      </c>
      <c r="F153" s="93"/>
      <c r="G153" s="41"/>
      <c r="H153" s="76"/>
      <c r="I153" s="94" t="b">
        <f>EXACT(C153,O153)</f>
        <v>1</v>
      </c>
      <c r="J153" s="94" t="b">
        <f>EXACT(D153,P153)</f>
        <v>1</v>
      </c>
      <c r="K153" s="94" t="s">
        <v>1568</v>
      </c>
      <c r="L153" s="94"/>
      <c r="M153" s="162" t="s">
        <v>490</v>
      </c>
      <c r="N153" s="162" t="s">
        <v>491</v>
      </c>
      <c r="O153" s="163" t="s">
        <v>514</v>
      </c>
      <c r="P153" s="197" t="s">
        <v>515</v>
      </c>
      <c r="Q153" s="131"/>
      <c r="R153" s="131"/>
      <c r="S153" s="131"/>
    </row>
    <row r="154" spans="1:19" s="75" customFormat="1" ht="24.9">
      <c r="A154" s="196" t="s">
        <v>490</v>
      </c>
      <c r="B154" s="153" t="s">
        <v>491</v>
      </c>
      <c r="C154" s="144" t="s">
        <v>516</v>
      </c>
      <c r="D154" s="145" t="s">
        <v>517</v>
      </c>
      <c r="E154" s="97" t="s">
        <v>331</v>
      </c>
      <c r="F154" s="94"/>
      <c r="G154" s="94"/>
      <c r="H154" s="94"/>
      <c r="I154" s="94" t="b">
        <f>EXACT(C154,O154)</f>
        <v>1</v>
      </c>
      <c r="J154" s="94" t="b">
        <f>EXACT(D154,P154)</f>
        <v>1</v>
      </c>
      <c r="K154" s="94" t="s">
        <v>1568</v>
      </c>
      <c r="L154" s="94"/>
      <c r="M154" s="162" t="s">
        <v>490</v>
      </c>
      <c r="N154" s="162" t="s">
        <v>491</v>
      </c>
      <c r="O154" s="163" t="s">
        <v>516</v>
      </c>
      <c r="P154" s="197" t="s">
        <v>517</v>
      </c>
      <c r="Q154" s="131"/>
      <c r="R154" s="131"/>
      <c r="S154" s="131"/>
    </row>
    <row r="155" spans="1:19" s="75" customFormat="1" ht="49.75">
      <c r="A155" s="196" t="s">
        <v>490</v>
      </c>
      <c r="B155" s="153" t="s">
        <v>491</v>
      </c>
      <c r="C155" s="144" t="s">
        <v>518</v>
      </c>
      <c r="D155" s="145" t="s">
        <v>519</v>
      </c>
      <c r="E155" s="41" t="s">
        <v>331</v>
      </c>
      <c r="F155" s="93"/>
      <c r="G155" s="41"/>
      <c r="H155" s="76"/>
      <c r="I155" s="94" t="b">
        <f>EXACT(C155,O155)</f>
        <v>1</v>
      </c>
      <c r="J155" s="94" t="b">
        <f>EXACT(D155,P155)</f>
        <v>1</v>
      </c>
      <c r="K155" s="94" t="s">
        <v>1568</v>
      </c>
      <c r="L155" s="94"/>
      <c r="M155" s="162" t="s">
        <v>490</v>
      </c>
      <c r="N155" s="162" t="s">
        <v>491</v>
      </c>
      <c r="O155" s="163" t="s">
        <v>518</v>
      </c>
      <c r="P155" s="197" t="s">
        <v>519</v>
      </c>
      <c r="Q155" s="130"/>
      <c r="R155" s="130"/>
      <c r="S155" s="130"/>
    </row>
    <row r="156" spans="1:19" s="75" customFormat="1" ht="24.9">
      <c r="A156" s="196" t="s">
        <v>490</v>
      </c>
      <c r="B156" s="153" t="s">
        <v>491</v>
      </c>
      <c r="C156" s="144" t="s">
        <v>520</v>
      </c>
      <c r="D156" s="145" t="s">
        <v>521</v>
      </c>
      <c r="E156" s="41"/>
      <c r="F156" s="93"/>
      <c r="G156" s="41"/>
      <c r="H156" s="137"/>
      <c r="I156" s="94" t="b">
        <f>EXACT(C156,O156)</f>
        <v>1</v>
      </c>
      <c r="J156" s="94" t="b">
        <f>EXACT(D156,P156)</f>
        <v>1</v>
      </c>
      <c r="K156" s="94" t="s">
        <v>1568</v>
      </c>
      <c r="L156" s="94"/>
      <c r="M156" s="162" t="s">
        <v>490</v>
      </c>
      <c r="N156" s="162" t="s">
        <v>491</v>
      </c>
      <c r="O156" s="163" t="s">
        <v>520</v>
      </c>
      <c r="P156" s="197" t="s">
        <v>521</v>
      </c>
      <c r="Q156" s="130"/>
      <c r="R156" s="130"/>
      <c r="S156" s="130"/>
    </row>
    <row r="157" spans="1:19" s="75" customFormat="1" ht="49.75">
      <c r="A157" s="196" t="s">
        <v>490</v>
      </c>
      <c r="B157" s="153" t="s">
        <v>491</v>
      </c>
      <c r="C157" s="144" t="s">
        <v>522</v>
      </c>
      <c r="D157" s="145" t="s">
        <v>523</v>
      </c>
      <c r="E157" s="41"/>
      <c r="F157" s="93"/>
      <c r="G157" s="94"/>
      <c r="H157" s="41"/>
      <c r="I157" s="94" t="b">
        <f>EXACT(C157,O157)</f>
        <v>1</v>
      </c>
      <c r="J157" s="94" t="b">
        <f>EXACT(D157,P157)</f>
        <v>1</v>
      </c>
      <c r="K157" s="94" t="s">
        <v>1568</v>
      </c>
      <c r="L157" s="94"/>
      <c r="M157" s="162" t="s">
        <v>490</v>
      </c>
      <c r="N157" s="162" t="s">
        <v>491</v>
      </c>
      <c r="O157" s="163" t="s">
        <v>522</v>
      </c>
      <c r="P157" s="197" t="s">
        <v>523</v>
      </c>
      <c r="Q157" s="130"/>
      <c r="R157" s="130"/>
      <c r="S157" s="130"/>
    </row>
    <row r="158" spans="1:19" s="75" customFormat="1" ht="37.299999999999997">
      <c r="A158" s="188" t="s">
        <v>958</v>
      </c>
      <c r="B158" s="153" t="s">
        <v>989</v>
      </c>
      <c r="C158" s="144" t="s">
        <v>994</v>
      </c>
      <c r="D158" s="145" t="s">
        <v>995</v>
      </c>
      <c r="E158" s="97" t="s">
        <v>331</v>
      </c>
      <c r="F158" s="94"/>
      <c r="G158" s="94"/>
      <c r="H158" s="94"/>
      <c r="I158" s="94" t="b">
        <f>EXACT(C158,O158)</f>
        <v>1</v>
      </c>
      <c r="J158" s="94" t="b">
        <f>EXACT(D158,P158)</f>
        <v>0</v>
      </c>
      <c r="K158" s="94" t="s">
        <v>1569</v>
      </c>
      <c r="L158" s="94" t="s">
        <v>1582</v>
      </c>
      <c r="M158" s="160" t="s">
        <v>958</v>
      </c>
      <c r="N158" s="160" t="s">
        <v>1511</v>
      </c>
      <c r="O158" s="159" t="s">
        <v>994</v>
      </c>
      <c r="P158" s="189" t="s">
        <v>1512</v>
      </c>
      <c r="Q158" s="130"/>
      <c r="R158" s="130"/>
      <c r="S158" s="130"/>
    </row>
    <row r="159" spans="1:19" s="75" customFormat="1" ht="37.299999999999997">
      <c r="A159" s="188" t="s">
        <v>958</v>
      </c>
      <c r="B159" s="153" t="s">
        <v>989</v>
      </c>
      <c r="C159" s="144" t="s">
        <v>996</v>
      </c>
      <c r="D159" s="145" t="s">
        <v>997</v>
      </c>
      <c r="E159" s="97"/>
      <c r="F159" s="94"/>
      <c r="G159" s="94"/>
      <c r="H159" s="94"/>
      <c r="I159" s="94" t="b">
        <f>EXACT(C159,O159)</f>
        <v>1</v>
      </c>
      <c r="J159" s="94" t="b">
        <f>EXACT(D159,P159)</f>
        <v>0</v>
      </c>
      <c r="K159" s="94" t="s">
        <v>1569</v>
      </c>
      <c r="L159" s="94" t="s">
        <v>1582</v>
      </c>
      <c r="M159" s="160" t="s">
        <v>958</v>
      </c>
      <c r="N159" s="160" t="s">
        <v>1511</v>
      </c>
      <c r="O159" s="159" t="s">
        <v>996</v>
      </c>
      <c r="P159" s="189" t="s">
        <v>1513</v>
      </c>
      <c r="Q159" s="130"/>
      <c r="R159" s="130"/>
      <c r="S159" s="130"/>
    </row>
    <row r="160" spans="1:19" s="75" customFormat="1" ht="87">
      <c r="A160" s="196" t="s">
        <v>490</v>
      </c>
      <c r="B160" s="153" t="s">
        <v>491</v>
      </c>
      <c r="C160" s="144" t="s">
        <v>538</v>
      </c>
      <c r="D160" s="145" t="s">
        <v>539</v>
      </c>
      <c r="E160" s="97"/>
      <c r="F160" s="94"/>
      <c r="G160" s="94"/>
      <c r="H160" s="94"/>
      <c r="I160" s="94" t="b">
        <f>EXACT(C160,O160)</f>
        <v>1</v>
      </c>
      <c r="J160" s="94" t="b">
        <f>EXACT(D160,P160)</f>
        <v>1</v>
      </c>
      <c r="K160" s="94" t="s">
        <v>1568</v>
      </c>
      <c r="L160" s="94"/>
      <c r="M160" s="165" t="s">
        <v>490</v>
      </c>
      <c r="N160" s="165" t="s">
        <v>491</v>
      </c>
      <c r="O160" s="163" t="s">
        <v>538</v>
      </c>
      <c r="P160" s="197" t="s">
        <v>539</v>
      </c>
      <c r="Q160" s="130"/>
      <c r="R160" s="130"/>
      <c r="S160" s="130"/>
    </row>
    <row r="161" spans="1:19" s="75" customFormat="1" ht="24.9">
      <c r="A161" s="196" t="s">
        <v>490</v>
      </c>
      <c r="B161" s="153" t="s">
        <v>491</v>
      </c>
      <c r="C161" s="144" t="s">
        <v>540</v>
      </c>
      <c r="D161" s="145" t="s">
        <v>541</v>
      </c>
      <c r="E161" s="97"/>
      <c r="F161" s="94"/>
      <c r="G161" s="94"/>
      <c r="H161" s="94"/>
      <c r="I161" s="94" t="b">
        <f>EXACT(C161,O161)</f>
        <v>1</v>
      </c>
      <c r="J161" s="94" t="b">
        <f>EXACT(D161,P161)</f>
        <v>1</v>
      </c>
      <c r="K161" s="94" t="s">
        <v>1568</v>
      </c>
      <c r="L161" s="94"/>
      <c r="M161" s="165" t="s">
        <v>490</v>
      </c>
      <c r="N161" s="165" t="s">
        <v>491</v>
      </c>
      <c r="O161" s="163" t="s">
        <v>540</v>
      </c>
      <c r="P161" s="197" t="s">
        <v>541</v>
      </c>
      <c r="Q161" s="130"/>
      <c r="R161" s="130"/>
      <c r="S161" s="130"/>
    </row>
    <row r="162" spans="1:19" s="75" customFormat="1" ht="49.75">
      <c r="A162" s="196" t="s">
        <v>490</v>
      </c>
      <c r="B162" s="153" t="s">
        <v>491</v>
      </c>
      <c r="C162" s="144" t="s">
        <v>542</v>
      </c>
      <c r="D162" s="145" t="s">
        <v>543</v>
      </c>
      <c r="E162" s="97"/>
      <c r="F162" s="94"/>
      <c r="G162" s="94"/>
      <c r="H162" s="94"/>
      <c r="I162" s="94" t="b">
        <f>EXACT(C162,O162)</f>
        <v>1</v>
      </c>
      <c r="J162" s="94" t="b">
        <f>EXACT(D162,P162)</f>
        <v>1</v>
      </c>
      <c r="K162" s="94" t="s">
        <v>1568</v>
      </c>
      <c r="L162" s="94"/>
      <c r="M162" s="165" t="s">
        <v>490</v>
      </c>
      <c r="N162" s="165" t="s">
        <v>491</v>
      </c>
      <c r="O162" s="163" t="s">
        <v>542</v>
      </c>
      <c r="P162" s="197" t="s">
        <v>543</v>
      </c>
      <c r="Q162" s="130"/>
      <c r="R162" s="130"/>
      <c r="S162" s="130"/>
    </row>
    <row r="163" spans="1:19" s="75" customFormat="1" ht="49.75">
      <c r="A163" s="196" t="s">
        <v>490</v>
      </c>
      <c r="B163" s="153" t="s">
        <v>491</v>
      </c>
      <c r="C163" s="144" t="s">
        <v>544</v>
      </c>
      <c r="D163" s="145" t="s">
        <v>545</v>
      </c>
      <c r="E163" s="97"/>
      <c r="F163" s="94"/>
      <c r="G163" s="94"/>
      <c r="H163" s="94"/>
      <c r="I163" s="94" t="b">
        <f>EXACT(C163,O163)</f>
        <v>1</v>
      </c>
      <c r="J163" s="94" t="b">
        <f>EXACT(D163,P163)</f>
        <v>1</v>
      </c>
      <c r="K163" s="94" t="s">
        <v>1568</v>
      </c>
      <c r="L163" s="94"/>
      <c r="M163" s="165" t="s">
        <v>490</v>
      </c>
      <c r="N163" s="165" t="s">
        <v>491</v>
      </c>
      <c r="O163" s="163" t="s">
        <v>544</v>
      </c>
      <c r="P163" s="197" t="s">
        <v>545</v>
      </c>
      <c r="Q163" s="130"/>
      <c r="R163" s="130"/>
      <c r="S163" s="130"/>
    </row>
    <row r="164" spans="1:19" s="75" customFormat="1" ht="49.75">
      <c r="A164" s="196" t="s">
        <v>490</v>
      </c>
      <c r="B164" s="153" t="s">
        <v>491</v>
      </c>
      <c r="C164" s="144" t="s">
        <v>552</v>
      </c>
      <c r="D164" s="145" t="s">
        <v>553</v>
      </c>
      <c r="E164" s="97"/>
      <c r="F164" s="94"/>
      <c r="G164" s="94"/>
      <c r="H164" s="94"/>
      <c r="I164" s="94" t="b">
        <f>EXACT(C164,O164)</f>
        <v>1</v>
      </c>
      <c r="J164" s="94" t="b">
        <f>EXACT(D164,P164)</f>
        <v>1</v>
      </c>
      <c r="K164" s="94" t="s">
        <v>1568</v>
      </c>
      <c r="L164" s="94"/>
      <c r="M164" s="165" t="s">
        <v>490</v>
      </c>
      <c r="N164" s="165" t="s">
        <v>491</v>
      </c>
      <c r="O164" s="163" t="s">
        <v>552</v>
      </c>
      <c r="P164" s="197" t="s">
        <v>553</v>
      </c>
      <c r="Q164" s="130"/>
      <c r="R164" s="130"/>
      <c r="S164" s="130"/>
    </row>
    <row r="165" spans="1:19" s="75" customFormat="1" ht="87">
      <c r="A165" s="196" t="s">
        <v>490</v>
      </c>
      <c r="B165" s="153" t="s">
        <v>491</v>
      </c>
      <c r="C165" s="144" t="s">
        <v>546</v>
      </c>
      <c r="D165" s="145" t="s">
        <v>547</v>
      </c>
      <c r="E165" s="97"/>
      <c r="F165" s="94"/>
      <c r="G165" s="94"/>
      <c r="H165" s="94"/>
      <c r="I165" s="94" t="b">
        <f>EXACT(C165,O165)</f>
        <v>1</v>
      </c>
      <c r="J165" s="94" t="b">
        <f>EXACT(D165,P165)</f>
        <v>1</v>
      </c>
      <c r="K165" s="94" t="s">
        <v>1568</v>
      </c>
      <c r="L165" s="94"/>
      <c r="M165" s="165" t="s">
        <v>490</v>
      </c>
      <c r="N165" s="165" t="s">
        <v>491</v>
      </c>
      <c r="O165" s="163" t="s">
        <v>546</v>
      </c>
      <c r="P165" s="197" t="s">
        <v>547</v>
      </c>
      <c r="Q165" s="130"/>
      <c r="R165" s="130"/>
      <c r="S165" s="130"/>
    </row>
    <row r="166" spans="1:19" s="75" customFormat="1" ht="74.599999999999994">
      <c r="A166" s="196" t="s">
        <v>490</v>
      </c>
      <c r="B166" s="153" t="s">
        <v>491</v>
      </c>
      <c r="C166" s="144" t="s">
        <v>548</v>
      </c>
      <c r="D166" s="145" t="s">
        <v>549</v>
      </c>
      <c r="E166" s="97"/>
      <c r="F166" s="94"/>
      <c r="G166" s="94"/>
      <c r="H166" s="94"/>
      <c r="I166" s="94" t="b">
        <f>EXACT(C166,O166)</f>
        <v>1</v>
      </c>
      <c r="J166" s="94" t="b">
        <f>EXACT(D166,P166)</f>
        <v>1</v>
      </c>
      <c r="K166" s="94" t="s">
        <v>1568</v>
      </c>
      <c r="L166" s="94"/>
      <c r="M166" s="165" t="s">
        <v>490</v>
      </c>
      <c r="N166" s="165" t="s">
        <v>491</v>
      </c>
      <c r="O166" s="163" t="s">
        <v>548</v>
      </c>
      <c r="P166" s="197" t="s">
        <v>549</v>
      </c>
      <c r="Q166" s="130"/>
      <c r="R166" s="130"/>
      <c r="S166" s="130"/>
    </row>
    <row r="167" spans="1:19" s="75" customFormat="1" ht="49.75">
      <c r="A167" s="196" t="s">
        <v>490</v>
      </c>
      <c r="B167" s="153" t="s">
        <v>491</v>
      </c>
      <c r="C167" s="144" t="s">
        <v>550</v>
      </c>
      <c r="D167" s="145" t="s">
        <v>551</v>
      </c>
      <c r="E167" s="97"/>
      <c r="F167" s="94"/>
      <c r="G167" s="94"/>
      <c r="H167" s="94"/>
      <c r="I167" s="94" t="b">
        <f>EXACT(C167,O167)</f>
        <v>1</v>
      </c>
      <c r="J167" s="94" t="b">
        <f>EXACT(D167,P167)</f>
        <v>1</v>
      </c>
      <c r="K167" s="94" t="s">
        <v>1568</v>
      </c>
      <c r="L167" s="94"/>
      <c r="M167" s="165" t="s">
        <v>490</v>
      </c>
      <c r="N167" s="165" t="s">
        <v>491</v>
      </c>
      <c r="O167" s="163" t="s">
        <v>550</v>
      </c>
      <c r="P167" s="197" t="s">
        <v>551</v>
      </c>
      <c r="Q167" s="130"/>
      <c r="R167" s="130"/>
      <c r="S167" s="130"/>
    </row>
    <row r="168" spans="1:19" s="75" customFormat="1" ht="14.6">
      <c r="A168" s="188" t="s">
        <v>490</v>
      </c>
      <c r="B168" s="153" t="s">
        <v>491</v>
      </c>
      <c r="C168" s="144" t="s">
        <v>524</v>
      </c>
      <c r="D168" s="145" t="s">
        <v>525</v>
      </c>
      <c r="E168" s="97"/>
      <c r="F168" s="94"/>
      <c r="G168" s="94"/>
      <c r="H168" s="94"/>
      <c r="I168" s="94" t="b">
        <f>EXACT(C168,O168)</f>
        <v>1</v>
      </c>
      <c r="J168" s="94" t="b">
        <f>EXACT(D168,P168)</f>
        <v>1</v>
      </c>
      <c r="K168" s="94" t="s">
        <v>1568</v>
      </c>
      <c r="L168" s="94"/>
      <c r="M168" s="164" t="s">
        <v>490</v>
      </c>
      <c r="N168" s="162" t="s">
        <v>491</v>
      </c>
      <c r="O168" s="163" t="s">
        <v>524</v>
      </c>
      <c r="P168" s="197" t="s">
        <v>525</v>
      </c>
      <c r="Q168" s="130"/>
      <c r="R168" s="130"/>
      <c r="S168" s="130"/>
    </row>
    <row r="169" spans="1:19" s="75" customFormat="1" ht="24.9">
      <c r="A169" s="188" t="s">
        <v>490</v>
      </c>
      <c r="B169" s="153" t="s">
        <v>491</v>
      </c>
      <c r="C169" s="144" t="s">
        <v>526</v>
      </c>
      <c r="D169" s="145" t="s">
        <v>527</v>
      </c>
      <c r="E169" s="41"/>
      <c r="F169" s="93"/>
      <c r="G169" s="41"/>
      <c r="H169" s="76"/>
      <c r="I169" s="94" t="b">
        <f>EXACT(C169,O169)</f>
        <v>1</v>
      </c>
      <c r="J169" s="94" t="b">
        <f>EXACT(D169,P169)</f>
        <v>1</v>
      </c>
      <c r="K169" s="94" t="s">
        <v>1568</v>
      </c>
      <c r="L169" s="94"/>
      <c r="M169" s="164" t="s">
        <v>490</v>
      </c>
      <c r="N169" s="162" t="s">
        <v>491</v>
      </c>
      <c r="O169" s="163" t="s">
        <v>526</v>
      </c>
      <c r="P169" s="197" t="s">
        <v>527</v>
      </c>
      <c r="Q169" s="130"/>
      <c r="R169" s="130"/>
      <c r="S169" s="130"/>
    </row>
    <row r="170" spans="1:19" s="75" customFormat="1" ht="24.9">
      <c r="A170" s="188" t="s">
        <v>490</v>
      </c>
      <c r="B170" s="153" t="s">
        <v>491</v>
      </c>
      <c r="C170" s="144" t="s">
        <v>528</v>
      </c>
      <c r="D170" s="145" t="s">
        <v>529</v>
      </c>
      <c r="E170" s="41"/>
      <c r="F170" s="93"/>
      <c r="G170" s="41"/>
      <c r="H170" s="76"/>
      <c r="I170" s="94" t="b">
        <f>EXACT(C170,O170)</f>
        <v>1</v>
      </c>
      <c r="J170" s="94" t="b">
        <f>EXACT(D170,P170)</f>
        <v>1</v>
      </c>
      <c r="K170" s="94" t="s">
        <v>1568</v>
      </c>
      <c r="L170" s="94"/>
      <c r="M170" s="164" t="s">
        <v>490</v>
      </c>
      <c r="N170" s="162" t="s">
        <v>491</v>
      </c>
      <c r="O170" s="163" t="s">
        <v>528</v>
      </c>
      <c r="P170" s="197" t="s">
        <v>529</v>
      </c>
      <c r="Q170" s="130"/>
      <c r="R170" s="130"/>
      <c r="S170" s="130"/>
    </row>
    <row r="171" spans="1:19" s="75" customFormat="1" ht="49.75">
      <c r="A171" s="196" t="s">
        <v>490</v>
      </c>
      <c r="B171" s="153" t="s">
        <v>491</v>
      </c>
      <c r="C171" s="144" t="s">
        <v>530</v>
      </c>
      <c r="D171" s="145" t="s">
        <v>531</v>
      </c>
      <c r="E171" s="41"/>
      <c r="F171" s="93"/>
      <c r="G171" s="41"/>
      <c r="H171" s="76"/>
      <c r="I171" s="94" t="b">
        <f>EXACT(C171,O171)</f>
        <v>1</v>
      </c>
      <c r="J171" s="94" t="b">
        <f>EXACT(D171,P171)</f>
        <v>1</v>
      </c>
      <c r="K171" s="94" t="s">
        <v>1568</v>
      </c>
      <c r="L171" s="94"/>
      <c r="M171" s="162" t="s">
        <v>490</v>
      </c>
      <c r="N171" s="162" t="s">
        <v>491</v>
      </c>
      <c r="O171" s="163" t="s">
        <v>530</v>
      </c>
      <c r="P171" s="197" t="s">
        <v>531</v>
      </c>
      <c r="Q171" s="130"/>
      <c r="R171" s="130"/>
      <c r="S171" s="130"/>
    </row>
    <row r="172" spans="1:19" s="75" customFormat="1" ht="49.75">
      <c r="A172" s="196" t="s">
        <v>490</v>
      </c>
      <c r="B172" s="153" t="s">
        <v>491</v>
      </c>
      <c r="C172" s="144" t="s">
        <v>532</v>
      </c>
      <c r="D172" s="145" t="s">
        <v>533</v>
      </c>
      <c r="E172" s="41" t="s">
        <v>331</v>
      </c>
      <c r="F172" s="93"/>
      <c r="G172" s="41"/>
      <c r="H172" s="76"/>
      <c r="I172" s="94" t="b">
        <f>EXACT(C172,O172)</f>
        <v>1</v>
      </c>
      <c r="J172" s="94" t="b">
        <f>EXACT(D172,P172)</f>
        <v>1</v>
      </c>
      <c r="K172" s="94" t="s">
        <v>1568</v>
      </c>
      <c r="L172" s="94"/>
      <c r="M172" s="162" t="s">
        <v>490</v>
      </c>
      <c r="N172" s="162" t="s">
        <v>491</v>
      </c>
      <c r="O172" s="163" t="s">
        <v>532</v>
      </c>
      <c r="P172" s="197" t="s">
        <v>533</v>
      </c>
      <c r="Q172" s="130"/>
      <c r="R172" s="130"/>
      <c r="S172" s="130"/>
    </row>
    <row r="173" spans="1:19" s="75" customFormat="1" ht="49.75">
      <c r="A173" s="196" t="s">
        <v>490</v>
      </c>
      <c r="B173" s="153" t="s">
        <v>491</v>
      </c>
      <c r="C173" s="144" t="s">
        <v>534</v>
      </c>
      <c r="D173" s="145" t="s">
        <v>535</v>
      </c>
      <c r="E173" s="41"/>
      <c r="F173" s="93"/>
      <c r="G173" s="41"/>
      <c r="H173" s="76"/>
      <c r="I173" s="94" t="b">
        <f>EXACT(C173,O173)</f>
        <v>1</v>
      </c>
      <c r="J173" s="94" t="b">
        <f>EXACT(D173,P173)</f>
        <v>1</v>
      </c>
      <c r="K173" s="94" t="s">
        <v>1568</v>
      </c>
      <c r="L173" s="94"/>
      <c r="M173" s="162" t="s">
        <v>490</v>
      </c>
      <c r="N173" s="162" t="s">
        <v>491</v>
      </c>
      <c r="O173" s="163" t="s">
        <v>534</v>
      </c>
      <c r="P173" s="197" t="s">
        <v>535</v>
      </c>
      <c r="Q173" s="130"/>
      <c r="R173" s="130"/>
      <c r="S173" s="130"/>
    </row>
    <row r="174" spans="1:19" s="75" customFormat="1" ht="24.9">
      <c r="A174" s="188" t="s">
        <v>554</v>
      </c>
      <c r="B174" s="147" t="s">
        <v>572</v>
      </c>
      <c r="C174" s="144" t="s">
        <v>573</v>
      </c>
      <c r="D174" s="145" t="s">
        <v>574</v>
      </c>
      <c r="E174" s="41"/>
      <c r="F174" s="93"/>
      <c r="G174" s="41"/>
      <c r="H174" s="76"/>
      <c r="I174" s="94" t="b">
        <f>EXACT(C174,O174)</f>
        <v>1</v>
      </c>
      <c r="J174" s="94" t="b">
        <f>EXACT(D174,P174)</f>
        <v>1</v>
      </c>
      <c r="K174" s="94" t="s">
        <v>1568</v>
      </c>
      <c r="L174" s="94"/>
      <c r="M174" s="160" t="s">
        <v>554</v>
      </c>
      <c r="N174" s="160" t="s">
        <v>572</v>
      </c>
      <c r="O174" s="159" t="s">
        <v>573</v>
      </c>
      <c r="P174" s="189" t="s">
        <v>574</v>
      </c>
      <c r="Q174" s="130"/>
      <c r="R174" s="130"/>
      <c r="S174" s="130"/>
    </row>
    <row r="175" spans="1:19" s="75" customFormat="1" ht="24.9">
      <c r="A175" s="188" t="s">
        <v>554</v>
      </c>
      <c r="B175" s="147" t="s">
        <v>555</v>
      </c>
      <c r="C175" s="144" t="s">
        <v>556</v>
      </c>
      <c r="D175" s="145" t="s">
        <v>557</v>
      </c>
      <c r="E175" s="41"/>
      <c r="F175" s="93"/>
      <c r="G175" s="41"/>
      <c r="H175" s="76"/>
      <c r="I175" s="94" t="b">
        <f>EXACT(C175,O175)</f>
        <v>1</v>
      </c>
      <c r="J175" s="94" t="b">
        <f>EXACT(D175,P175)</f>
        <v>1</v>
      </c>
      <c r="K175" s="94" t="s">
        <v>1568</v>
      </c>
      <c r="L175" s="94"/>
      <c r="M175" s="160" t="s">
        <v>554</v>
      </c>
      <c r="N175" s="160" t="s">
        <v>555</v>
      </c>
      <c r="O175" s="159" t="s">
        <v>556</v>
      </c>
      <c r="P175" s="189" t="s">
        <v>557</v>
      </c>
      <c r="Q175" s="130"/>
      <c r="R175" s="130"/>
      <c r="S175" s="130"/>
    </row>
    <row r="176" spans="1:19" s="75" customFormat="1" ht="24.9">
      <c r="A176" s="188" t="s">
        <v>554</v>
      </c>
      <c r="B176" s="147" t="s">
        <v>572</v>
      </c>
      <c r="C176" s="144" t="s">
        <v>575</v>
      </c>
      <c r="D176" s="145" t="s">
        <v>576</v>
      </c>
      <c r="E176" s="41"/>
      <c r="F176" s="93"/>
      <c r="G176" s="41"/>
      <c r="H176" s="76"/>
      <c r="I176" s="94" t="b">
        <f>EXACT(C176,O176)</f>
        <v>1</v>
      </c>
      <c r="J176" s="94" t="b">
        <f>EXACT(D176,P176)</f>
        <v>1</v>
      </c>
      <c r="K176" s="94" t="s">
        <v>1568</v>
      </c>
      <c r="L176" s="94"/>
      <c r="M176" s="160" t="s">
        <v>554</v>
      </c>
      <c r="N176" s="160" t="s">
        <v>572</v>
      </c>
      <c r="O176" s="159" t="s">
        <v>575</v>
      </c>
      <c r="P176" s="189" t="s">
        <v>576</v>
      </c>
      <c r="Q176" s="130"/>
      <c r="R176" s="130"/>
      <c r="S176" s="130"/>
    </row>
    <row r="177" spans="1:19" s="75" customFormat="1" ht="14.6">
      <c r="A177" s="188" t="s">
        <v>554</v>
      </c>
      <c r="B177" s="147" t="s">
        <v>577</v>
      </c>
      <c r="C177" s="144" t="s">
        <v>578</v>
      </c>
      <c r="D177" s="145" t="s">
        <v>579</v>
      </c>
      <c r="E177" s="97"/>
      <c r="F177" s="94"/>
      <c r="G177" s="94"/>
      <c r="H177" s="94"/>
      <c r="I177" s="94" t="b">
        <f>EXACT(C177,O177)</f>
        <v>1</v>
      </c>
      <c r="J177" s="94" t="b">
        <f>EXACT(D177,P177)</f>
        <v>0</v>
      </c>
      <c r="K177" s="94" t="s">
        <v>1569</v>
      </c>
      <c r="L177" s="94" t="s">
        <v>1583</v>
      </c>
      <c r="M177" s="160" t="s">
        <v>554</v>
      </c>
      <c r="N177" s="160" t="s">
        <v>577</v>
      </c>
      <c r="O177" s="159" t="s">
        <v>578</v>
      </c>
      <c r="P177" s="189" t="s">
        <v>1398</v>
      </c>
      <c r="Q177" s="131"/>
      <c r="R177" s="131"/>
      <c r="S177" s="131"/>
    </row>
    <row r="178" spans="1:19" s="75" customFormat="1" ht="24.9">
      <c r="A178" s="188" t="s">
        <v>554</v>
      </c>
      <c r="B178" s="147" t="s">
        <v>555</v>
      </c>
      <c r="C178" s="144" t="s">
        <v>558</v>
      </c>
      <c r="D178" s="145" t="s">
        <v>559</v>
      </c>
      <c r="E178" s="41"/>
      <c r="F178" s="93"/>
      <c r="G178" s="41"/>
      <c r="H178" s="76"/>
      <c r="I178" s="94" t="b">
        <f>EXACT(C178,O178)</f>
        <v>1</v>
      </c>
      <c r="J178" s="94" t="b">
        <f>EXACT(D178,P178)</f>
        <v>1</v>
      </c>
      <c r="K178" s="94" t="s">
        <v>1568</v>
      </c>
      <c r="L178" s="94"/>
      <c r="M178" s="160" t="s">
        <v>554</v>
      </c>
      <c r="N178" s="160" t="s">
        <v>555</v>
      </c>
      <c r="O178" s="159" t="s">
        <v>558</v>
      </c>
      <c r="P178" s="189" t="s">
        <v>559</v>
      </c>
      <c r="Q178" s="131"/>
      <c r="R178" s="131"/>
      <c r="S178" s="131"/>
    </row>
    <row r="179" spans="1:19" s="75" customFormat="1" ht="24.9">
      <c r="A179" s="188" t="s">
        <v>554</v>
      </c>
      <c r="B179" s="147" t="s">
        <v>555</v>
      </c>
      <c r="C179" s="144" t="s">
        <v>560</v>
      </c>
      <c r="D179" s="145" t="s">
        <v>561</v>
      </c>
      <c r="E179" s="41"/>
      <c r="F179" s="93"/>
      <c r="G179" s="41"/>
      <c r="H179" s="76"/>
      <c r="I179" s="94" t="b">
        <f>EXACT(C179,O179)</f>
        <v>1</v>
      </c>
      <c r="J179" s="94" t="b">
        <f>EXACT(D179,P179)</f>
        <v>1</v>
      </c>
      <c r="K179" s="94" t="s">
        <v>1568</v>
      </c>
      <c r="L179" s="94"/>
      <c r="M179" s="160" t="s">
        <v>554</v>
      </c>
      <c r="N179" s="160" t="s">
        <v>555</v>
      </c>
      <c r="O179" s="159" t="s">
        <v>560</v>
      </c>
      <c r="P179" s="189" t="s">
        <v>561</v>
      </c>
      <c r="Q179" s="131"/>
      <c r="R179" s="131"/>
      <c r="S179" s="131"/>
    </row>
    <row r="180" spans="1:19" s="75" customFormat="1" ht="37.299999999999997">
      <c r="A180" s="188" t="s">
        <v>554</v>
      </c>
      <c r="B180" s="147" t="s">
        <v>580</v>
      </c>
      <c r="C180" s="144" t="s">
        <v>581</v>
      </c>
      <c r="D180" s="145" t="s">
        <v>582</v>
      </c>
      <c r="E180" s="41"/>
      <c r="F180" s="93"/>
      <c r="G180" s="41"/>
      <c r="H180" s="76"/>
      <c r="I180" s="94" t="b">
        <f>EXACT(C180,O180)</f>
        <v>1</v>
      </c>
      <c r="J180" s="94" t="b">
        <f>EXACT(D180,P180)</f>
        <v>1</v>
      </c>
      <c r="K180" s="94" t="s">
        <v>1568</v>
      </c>
      <c r="L180" s="94"/>
      <c r="M180" s="160" t="s">
        <v>554</v>
      </c>
      <c r="N180" s="160" t="s">
        <v>580</v>
      </c>
      <c r="O180" s="159" t="s">
        <v>581</v>
      </c>
      <c r="P180" s="189" t="s">
        <v>582</v>
      </c>
      <c r="Q180" s="131"/>
      <c r="R180" s="131"/>
      <c r="S180" s="131"/>
    </row>
    <row r="181" spans="1:19" s="75" customFormat="1" ht="37.299999999999997">
      <c r="A181" s="188" t="s">
        <v>554</v>
      </c>
      <c r="B181" s="147" t="s">
        <v>555</v>
      </c>
      <c r="C181" s="144" t="s">
        <v>562</v>
      </c>
      <c r="D181" s="145" t="s">
        <v>563</v>
      </c>
      <c r="E181" s="41"/>
      <c r="F181" s="93"/>
      <c r="G181" s="41"/>
      <c r="H181" s="76"/>
      <c r="I181" s="94" t="b">
        <f>EXACT(C181,O181)</f>
        <v>1</v>
      </c>
      <c r="J181" s="94" t="b">
        <f>EXACT(D181,P181)</f>
        <v>1</v>
      </c>
      <c r="K181" s="94" t="s">
        <v>1568</v>
      </c>
      <c r="L181" s="94"/>
      <c r="M181" s="160" t="s">
        <v>554</v>
      </c>
      <c r="N181" s="160" t="s">
        <v>555</v>
      </c>
      <c r="O181" s="159" t="s">
        <v>562</v>
      </c>
      <c r="P181" s="189" t="s">
        <v>563</v>
      </c>
      <c r="Q181" s="131"/>
      <c r="R181" s="131"/>
      <c r="S181" s="131"/>
    </row>
    <row r="182" spans="1:19" s="75" customFormat="1" ht="24.9">
      <c r="A182" s="188" t="s">
        <v>554</v>
      </c>
      <c r="B182" s="147" t="s">
        <v>555</v>
      </c>
      <c r="C182" s="144" t="s">
        <v>564</v>
      </c>
      <c r="D182" s="145" t="s">
        <v>565</v>
      </c>
      <c r="E182" s="41"/>
      <c r="F182" s="93"/>
      <c r="G182" s="41"/>
      <c r="H182" s="76"/>
      <c r="I182" s="94" t="b">
        <f>EXACT(C182,O182)</f>
        <v>1</v>
      </c>
      <c r="J182" s="94" t="b">
        <f>EXACT(D182,P182)</f>
        <v>1</v>
      </c>
      <c r="K182" s="94" t="s">
        <v>1568</v>
      </c>
      <c r="L182" s="94"/>
      <c r="M182" s="160" t="s">
        <v>554</v>
      </c>
      <c r="N182" s="160" t="s">
        <v>555</v>
      </c>
      <c r="O182" s="159" t="s">
        <v>564</v>
      </c>
      <c r="P182" s="189" t="s">
        <v>565</v>
      </c>
      <c r="Q182" s="131"/>
      <c r="R182" s="131"/>
      <c r="S182" s="131"/>
    </row>
    <row r="183" spans="1:19" s="75" customFormat="1" ht="24.9">
      <c r="A183" s="188" t="s">
        <v>554</v>
      </c>
      <c r="B183" s="147" t="s">
        <v>555</v>
      </c>
      <c r="C183" s="144" t="s">
        <v>566</v>
      </c>
      <c r="D183" s="145" t="s">
        <v>567</v>
      </c>
      <c r="E183" s="41"/>
      <c r="F183" s="93"/>
      <c r="G183" s="41"/>
      <c r="H183" s="76"/>
      <c r="I183" s="94" t="b">
        <f>EXACT(C183,O183)</f>
        <v>1</v>
      </c>
      <c r="J183" s="94" t="b">
        <f>EXACT(D183,P183)</f>
        <v>1</v>
      </c>
      <c r="K183" s="94" t="s">
        <v>1568</v>
      </c>
      <c r="L183" s="94"/>
      <c r="M183" s="160" t="s">
        <v>554</v>
      </c>
      <c r="N183" s="160" t="s">
        <v>555</v>
      </c>
      <c r="O183" s="159" t="s">
        <v>566</v>
      </c>
      <c r="P183" s="189" t="s">
        <v>567</v>
      </c>
      <c r="Q183" s="131"/>
      <c r="R183" s="131"/>
      <c r="S183" s="131"/>
    </row>
    <row r="184" spans="1:19" s="75" customFormat="1" ht="24.9">
      <c r="A184" s="188" t="s">
        <v>554</v>
      </c>
      <c r="B184" s="147" t="s">
        <v>555</v>
      </c>
      <c r="C184" s="144" t="s">
        <v>568</v>
      </c>
      <c r="D184" s="145" t="s">
        <v>569</v>
      </c>
      <c r="E184" s="41"/>
      <c r="F184" s="93"/>
      <c r="G184" s="41"/>
      <c r="H184" s="76"/>
      <c r="I184" s="94" t="b">
        <f>EXACT(C184,O184)</f>
        <v>1</v>
      </c>
      <c r="J184" s="94" t="b">
        <f>EXACT(D184,P184)</f>
        <v>1</v>
      </c>
      <c r="K184" s="94" t="s">
        <v>1568</v>
      </c>
      <c r="L184" s="94"/>
      <c r="M184" s="160" t="s">
        <v>554</v>
      </c>
      <c r="N184" s="160" t="s">
        <v>555</v>
      </c>
      <c r="O184" s="159" t="s">
        <v>568</v>
      </c>
      <c r="P184" s="189" t="s">
        <v>569</v>
      </c>
      <c r="Q184" s="131"/>
      <c r="R184" s="131"/>
      <c r="S184" s="131"/>
    </row>
    <row r="185" spans="1:19" s="75" customFormat="1" ht="24.9">
      <c r="A185" s="188" t="s">
        <v>554</v>
      </c>
      <c r="B185" s="147" t="s">
        <v>555</v>
      </c>
      <c r="C185" s="144" t="s">
        <v>570</v>
      </c>
      <c r="D185" s="145" t="s">
        <v>571</v>
      </c>
      <c r="E185" s="41"/>
      <c r="F185" s="93"/>
      <c r="G185" s="41"/>
      <c r="H185" s="76"/>
      <c r="I185" s="94" t="b">
        <f>EXACT(C185,O185)</f>
        <v>1</v>
      </c>
      <c r="J185" s="94" t="b">
        <f>EXACT(D185,P185)</f>
        <v>1</v>
      </c>
      <c r="K185" s="94" t="s">
        <v>1568</v>
      </c>
      <c r="L185" s="94"/>
      <c r="M185" s="160" t="s">
        <v>554</v>
      </c>
      <c r="N185" s="160" t="s">
        <v>555</v>
      </c>
      <c r="O185" s="159" t="s">
        <v>570</v>
      </c>
      <c r="P185" s="189" t="s">
        <v>571</v>
      </c>
      <c r="Q185" s="130"/>
      <c r="R185" s="130"/>
      <c r="S185" s="130"/>
    </row>
    <row r="186" spans="1:19" s="75" customFormat="1" ht="24.9">
      <c r="A186" s="198" t="s">
        <v>673</v>
      </c>
      <c r="B186" s="144" t="s">
        <v>381</v>
      </c>
      <c r="C186" s="144" t="s">
        <v>680</v>
      </c>
      <c r="D186" s="145" t="s">
        <v>681</v>
      </c>
      <c r="E186" s="97"/>
      <c r="F186" s="94"/>
      <c r="G186" s="94"/>
      <c r="H186" s="94"/>
      <c r="I186" s="94" t="b">
        <f>EXACT(C186,O186)</f>
        <v>1</v>
      </c>
      <c r="J186" s="94" t="b">
        <f>EXACT(D186,P186)</f>
        <v>1</v>
      </c>
      <c r="K186" s="94" t="s">
        <v>1568</v>
      </c>
      <c r="L186" s="94"/>
      <c r="M186" s="159" t="s">
        <v>673</v>
      </c>
      <c r="N186" s="159" t="s">
        <v>381</v>
      </c>
      <c r="O186" s="159" t="s">
        <v>680</v>
      </c>
      <c r="P186" s="189" t="s">
        <v>681</v>
      </c>
      <c r="Q186" s="130"/>
      <c r="R186" s="130"/>
      <c r="S186" s="130"/>
    </row>
    <row r="187" spans="1:19" s="75" customFormat="1" ht="24.9">
      <c r="A187" s="198" t="s">
        <v>673</v>
      </c>
      <c r="B187" s="144" t="s">
        <v>381</v>
      </c>
      <c r="C187" s="144" t="s">
        <v>682</v>
      </c>
      <c r="D187" s="145" t="s">
        <v>683</v>
      </c>
      <c r="E187" s="97"/>
      <c r="F187" s="94"/>
      <c r="G187" s="94"/>
      <c r="H187" s="94"/>
      <c r="I187" s="94" t="b">
        <f>EXACT(C187,O187)</f>
        <v>1</v>
      </c>
      <c r="J187" s="94" t="b">
        <f>EXACT(D187,P187)</f>
        <v>1</v>
      </c>
      <c r="K187" s="94" t="s">
        <v>1568</v>
      </c>
      <c r="L187" s="94"/>
      <c r="M187" s="159" t="s">
        <v>673</v>
      </c>
      <c r="N187" s="159" t="s">
        <v>381</v>
      </c>
      <c r="O187" s="159" t="s">
        <v>682</v>
      </c>
      <c r="P187" s="189" t="s">
        <v>683</v>
      </c>
      <c r="Q187" s="130"/>
      <c r="R187" s="130"/>
      <c r="S187" s="130"/>
    </row>
    <row r="188" spans="1:19" s="75" customFormat="1" ht="14.6">
      <c r="A188" s="198" t="s">
        <v>673</v>
      </c>
      <c r="B188" s="144" t="s">
        <v>318</v>
      </c>
      <c r="C188" s="144" t="s">
        <v>674</v>
      </c>
      <c r="D188" s="145" t="s">
        <v>675</v>
      </c>
      <c r="E188" s="97"/>
      <c r="F188" s="94"/>
      <c r="G188" s="94"/>
      <c r="H188" s="94"/>
      <c r="I188" s="94" t="b">
        <f>EXACT(C188,O188)</f>
        <v>1</v>
      </c>
      <c r="J188" s="94" t="b">
        <f>EXACT(D188,P188)</f>
        <v>1</v>
      </c>
      <c r="K188" s="94" t="s">
        <v>1568</v>
      </c>
      <c r="L188" s="94"/>
      <c r="M188" s="159" t="s">
        <v>673</v>
      </c>
      <c r="N188" s="159" t="s">
        <v>318</v>
      </c>
      <c r="O188" s="159" t="s">
        <v>674</v>
      </c>
      <c r="P188" s="189" t="s">
        <v>675</v>
      </c>
      <c r="Q188" s="130"/>
      <c r="R188" s="130"/>
      <c r="S188" s="130"/>
    </row>
    <row r="189" spans="1:19" s="75" customFormat="1" ht="24.9">
      <c r="A189" s="198" t="s">
        <v>673</v>
      </c>
      <c r="B189" s="144" t="s">
        <v>318</v>
      </c>
      <c r="C189" s="144" t="s">
        <v>676</v>
      </c>
      <c r="D189" s="145" t="s">
        <v>677</v>
      </c>
      <c r="E189" s="97"/>
      <c r="F189" s="94"/>
      <c r="G189" s="94"/>
      <c r="H189" s="94"/>
      <c r="I189" s="94" t="b">
        <f>EXACT(C189,O189)</f>
        <v>1</v>
      </c>
      <c r="J189" s="94" t="b">
        <f>EXACT(D189,P189)</f>
        <v>1</v>
      </c>
      <c r="K189" s="94" t="s">
        <v>1568</v>
      </c>
      <c r="L189" s="94"/>
      <c r="M189" s="159" t="s">
        <v>673</v>
      </c>
      <c r="N189" s="159" t="s">
        <v>318</v>
      </c>
      <c r="O189" s="159" t="s">
        <v>676</v>
      </c>
      <c r="P189" s="189" t="s">
        <v>677</v>
      </c>
      <c r="Q189" s="130"/>
      <c r="R189" s="130"/>
      <c r="S189" s="130"/>
    </row>
    <row r="190" spans="1:19" s="75" customFormat="1" ht="24.9">
      <c r="A190" s="198" t="s">
        <v>673</v>
      </c>
      <c r="B190" s="144" t="s">
        <v>381</v>
      </c>
      <c r="C190" s="144" t="s">
        <v>684</v>
      </c>
      <c r="D190" s="145" t="s">
        <v>685</v>
      </c>
      <c r="E190" s="97"/>
      <c r="F190" s="94"/>
      <c r="G190" s="94"/>
      <c r="H190" s="94"/>
      <c r="I190" s="94" t="b">
        <f>EXACT(C190,O190)</f>
        <v>1</v>
      </c>
      <c r="J190" s="94" t="b">
        <f>EXACT(D190,P190)</f>
        <v>1</v>
      </c>
      <c r="K190" s="94" t="s">
        <v>1568</v>
      </c>
      <c r="L190" s="94"/>
      <c r="M190" s="159" t="s">
        <v>673</v>
      </c>
      <c r="N190" s="159" t="s">
        <v>381</v>
      </c>
      <c r="O190" s="159" t="s">
        <v>684</v>
      </c>
      <c r="P190" s="189" t="s">
        <v>685</v>
      </c>
      <c r="Q190" s="130"/>
      <c r="R190" s="130"/>
      <c r="S190" s="130"/>
    </row>
    <row r="191" spans="1:19" s="75" customFormat="1" ht="62.15">
      <c r="A191" s="198" t="s">
        <v>673</v>
      </c>
      <c r="B191" s="144" t="s">
        <v>381</v>
      </c>
      <c r="C191" s="144" t="s">
        <v>686</v>
      </c>
      <c r="D191" s="145" t="s">
        <v>687</v>
      </c>
      <c r="E191" s="97"/>
      <c r="F191" s="94"/>
      <c r="G191" s="94"/>
      <c r="H191" s="94"/>
      <c r="I191" s="94" t="b">
        <f>EXACT(C191,O191)</f>
        <v>1</v>
      </c>
      <c r="J191" s="94" t="b">
        <f>EXACT(D191,P191)</f>
        <v>1</v>
      </c>
      <c r="K191" s="94" t="s">
        <v>1568</v>
      </c>
      <c r="L191" s="94"/>
      <c r="M191" s="159" t="s">
        <v>673</v>
      </c>
      <c r="N191" s="159" t="s">
        <v>381</v>
      </c>
      <c r="O191" s="159" t="s">
        <v>686</v>
      </c>
      <c r="P191" s="189" t="s">
        <v>687</v>
      </c>
      <c r="Q191" s="130"/>
      <c r="R191" s="130"/>
      <c r="S191" s="130"/>
    </row>
    <row r="192" spans="1:19" s="75" customFormat="1" ht="74.599999999999994">
      <c r="A192" s="198" t="s">
        <v>673</v>
      </c>
      <c r="B192" s="144" t="s">
        <v>381</v>
      </c>
      <c r="C192" s="144" t="s">
        <v>688</v>
      </c>
      <c r="D192" s="145" t="s">
        <v>689</v>
      </c>
      <c r="E192" s="97"/>
      <c r="F192" s="94"/>
      <c r="G192" s="94"/>
      <c r="H192" s="94"/>
      <c r="I192" s="94" t="b">
        <f>EXACT(C192,O192)</f>
        <v>1</v>
      </c>
      <c r="J192" s="94" t="b">
        <f>EXACT(D192,P192)</f>
        <v>1</v>
      </c>
      <c r="K192" s="94" t="s">
        <v>1568</v>
      </c>
      <c r="L192" s="94"/>
      <c r="M192" s="159" t="s">
        <v>673</v>
      </c>
      <c r="N192" s="159" t="s">
        <v>381</v>
      </c>
      <c r="O192" s="159" t="s">
        <v>688</v>
      </c>
      <c r="P192" s="189" t="s">
        <v>689</v>
      </c>
      <c r="Q192" s="130"/>
      <c r="R192" s="130"/>
      <c r="S192" s="130"/>
    </row>
    <row r="193" spans="1:19" s="75" customFormat="1" ht="62.15">
      <c r="A193" s="198" t="s">
        <v>673</v>
      </c>
      <c r="B193" s="144" t="s">
        <v>381</v>
      </c>
      <c r="C193" s="144" t="s">
        <v>690</v>
      </c>
      <c r="D193" s="145" t="s">
        <v>691</v>
      </c>
      <c r="E193" s="97"/>
      <c r="F193" s="94"/>
      <c r="G193" s="94"/>
      <c r="H193" s="94"/>
      <c r="I193" s="94" t="b">
        <f>EXACT(C193,O193)</f>
        <v>1</v>
      </c>
      <c r="J193" s="94" t="b">
        <f>EXACT(D193,P193)</f>
        <v>1</v>
      </c>
      <c r="K193" s="94" t="s">
        <v>1568</v>
      </c>
      <c r="L193" s="94"/>
      <c r="M193" s="159" t="s">
        <v>673</v>
      </c>
      <c r="N193" s="159" t="s">
        <v>381</v>
      </c>
      <c r="O193" s="159" t="s">
        <v>690</v>
      </c>
      <c r="P193" s="189" t="s">
        <v>691</v>
      </c>
      <c r="Q193" s="130"/>
      <c r="R193" s="130"/>
      <c r="S193" s="130"/>
    </row>
    <row r="194" spans="1:19" s="75" customFormat="1" ht="74.599999999999994">
      <c r="A194" s="198" t="s">
        <v>673</v>
      </c>
      <c r="B194" s="144" t="s">
        <v>381</v>
      </c>
      <c r="C194" s="144" t="s">
        <v>692</v>
      </c>
      <c r="D194" s="145" t="s">
        <v>693</v>
      </c>
      <c r="E194" s="97"/>
      <c r="F194" s="94"/>
      <c r="G194" s="94"/>
      <c r="H194" s="94"/>
      <c r="I194" s="94" t="b">
        <f>EXACT(C194,O194)</f>
        <v>1</v>
      </c>
      <c r="J194" s="94" t="b">
        <f>EXACT(D194,P194)</f>
        <v>1</v>
      </c>
      <c r="K194" s="94" t="s">
        <v>1568</v>
      </c>
      <c r="L194" s="94"/>
      <c r="M194" s="159" t="s">
        <v>673</v>
      </c>
      <c r="N194" s="159" t="s">
        <v>381</v>
      </c>
      <c r="O194" s="159" t="s">
        <v>692</v>
      </c>
      <c r="P194" s="189" t="s">
        <v>693</v>
      </c>
      <c r="Q194" s="130"/>
      <c r="R194" s="130"/>
      <c r="S194" s="130"/>
    </row>
    <row r="195" spans="1:19" s="75" customFormat="1" ht="62.15">
      <c r="A195" s="198" t="s">
        <v>673</v>
      </c>
      <c r="B195" s="144" t="s">
        <v>381</v>
      </c>
      <c r="C195" s="144" t="s">
        <v>694</v>
      </c>
      <c r="D195" s="145" t="s">
        <v>695</v>
      </c>
      <c r="E195" s="97"/>
      <c r="F195" s="94"/>
      <c r="G195" s="94"/>
      <c r="H195" s="94"/>
      <c r="I195" s="94" t="b">
        <f>EXACT(C195,O195)</f>
        <v>1</v>
      </c>
      <c r="J195" s="94" t="b">
        <f>EXACT(D195,P195)</f>
        <v>1</v>
      </c>
      <c r="K195" s="94" t="s">
        <v>1568</v>
      </c>
      <c r="L195" s="94"/>
      <c r="M195" s="159" t="s">
        <v>673</v>
      </c>
      <c r="N195" s="159" t="s">
        <v>381</v>
      </c>
      <c r="O195" s="159" t="s">
        <v>694</v>
      </c>
      <c r="P195" s="189" t="s">
        <v>695</v>
      </c>
      <c r="Q195" s="130"/>
      <c r="R195" s="130"/>
      <c r="S195" s="130"/>
    </row>
    <row r="196" spans="1:19" s="75" customFormat="1" ht="74.599999999999994">
      <c r="A196" s="198" t="s">
        <v>673</v>
      </c>
      <c r="B196" s="144" t="s">
        <v>381</v>
      </c>
      <c r="C196" s="144" t="s">
        <v>696</v>
      </c>
      <c r="D196" s="145" t="s">
        <v>697</v>
      </c>
      <c r="E196" s="97"/>
      <c r="F196" s="94"/>
      <c r="G196" s="94"/>
      <c r="H196" s="94"/>
      <c r="I196" s="94" t="b">
        <f>EXACT(C196,O196)</f>
        <v>1</v>
      </c>
      <c r="J196" s="94" t="b">
        <f>EXACT(D196,P196)</f>
        <v>1</v>
      </c>
      <c r="K196" s="94" t="s">
        <v>1568</v>
      </c>
      <c r="L196" s="94"/>
      <c r="M196" s="159" t="s">
        <v>673</v>
      </c>
      <c r="N196" s="159" t="s">
        <v>381</v>
      </c>
      <c r="O196" s="159" t="s">
        <v>696</v>
      </c>
      <c r="P196" s="189" t="s">
        <v>697</v>
      </c>
      <c r="Q196" s="130"/>
      <c r="R196" s="130"/>
      <c r="S196" s="130"/>
    </row>
    <row r="197" spans="1:19" s="75" customFormat="1" ht="62.15">
      <c r="A197" s="198" t="s">
        <v>673</v>
      </c>
      <c r="B197" s="144" t="s">
        <v>381</v>
      </c>
      <c r="C197" s="144" t="s">
        <v>698</v>
      </c>
      <c r="D197" s="145" t="s">
        <v>699</v>
      </c>
      <c r="E197" s="97"/>
      <c r="F197" s="94"/>
      <c r="G197" s="94"/>
      <c r="H197" s="94"/>
      <c r="I197" s="94" t="b">
        <f>EXACT(C197,O197)</f>
        <v>1</v>
      </c>
      <c r="J197" s="94" t="b">
        <f>EXACT(D197,P197)</f>
        <v>1</v>
      </c>
      <c r="K197" s="94" t="s">
        <v>1568</v>
      </c>
      <c r="L197" s="94"/>
      <c r="M197" s="159" t="s">
        <v>673</v>
      </c>
      <c r="N197" s="159" t="s">
        <v>381</v>
      </c>
      <c r="O197" s="159" t="s">
        <v>698</v>
      </c>
      <c r="P197" s="189" t="s">
        <v>699</v>
      </c>
      <c r="Q197" s="130"/>
      <c r="R197" s="130"/>
      <c r="S197" s="130"/>
    </row>
    <row r="198" spans="1:19" s="75" customFormat="1" ht="74.599999999999994">
      <c r="A198" s="198" t="s">
        <v>673</v>
      </c>
      <c r="B198" s="144" t="s">
        <v>381</v>
      </c>
      <c r="C198" s="144" t="s">
        <v>700</v>
      </c>
      <c r="D198" s="145" t="s">
        <v>701</v>
      </c>
      <c r="E198" s="97"/>
      <c r="F198" s="94"/>
      <c r="G198" s="94"/>
      <c r="H198" s="94"/>
      <c r="I198" s="94" t="b">
        <f>EXACT(C198,O198)</f>
        <v>1</v>
      </c>
      <c r="J198" s="94" t="b">
        <f>EXACT(D198,P198)</f>
        <v>1</v>
      </c>
      <c r="K198" s="94" t="s">
        <v>1568</v>
      </c>
      <c r="L198" s="94"/>
      <c r="M198" s="159" t="s">
        <v>673</v>
      </c>
      <c r="N198" s="159" t="s">
        <v>381</v>
      </c>
      <c r="O198" s="159" t="s">
        <v>700</v>
      </c>
      <c r="P198" s="189" t="s">
        <v>701</v>
      </c>
      <c r="Q198" s="130"/>
      <c r="R198" s="130"/>
      <c r="S198" s="130"/>
    </row>
    <row r="199" spans="1:19" s="75" customFormat="1" ht="62.15">
      <c r="A199" s="198" t="s">
        <v>673</v>
      </c>
      <c r="B199" s="144" t="s">
        <v>381</v>
      </c>
      <c r="C199" s="144" t="s">
        <v>702</v>
      </c>
      <c r="D199" s="145" t="s">
        <v>703</v>
      </c>
      <c r="E199" s="97"/>
      <c r="F199" s="94"/>
      <c r="G199" s="94"/>
      <c r="H199" s="94"/>
      <c r="I199" s="94" t="b">
        <f>EXACT(C199,O199)</f>
        <v>1</v>
      </c>
      <c r="J199" s="94" t="b">
        <f>EXACT(D199,P199)</f>
        <v>1</v>
      </c>
      <c r="K199" s="94" t="s">
        <v>1568</v>
      </c>
      <c r="L199" s="94"/>
      <c r="M199" s="159" t="s">
        <v>673</v>
      </c>
      <c r="N199" s="159" t="s">
        <v>381</v>
      </c>
      <c r="O199" s="159" t="s">
        <v>702</v>
      </c>
      <c r="P199" s="189" t="s">
        <v>703</v>
      </c>
      <c r="Q199" s="130"/>
      <c r="R199" s="130"/>
      <c r="S199" s="130"/>
    </row>
    <row r="200" spans="1:19" s="75" customFormat="1" ht="74.599999999999994">
      <c r="A200" s="198" t="s">
        <v>673</v>
      </c>
      <c r="B200" s="144" t="s">
        <v>381</v>
      </c>
      <c r="C200" s="144" t="s">
        <v>704</v>
      </c>
      <c r="D200" s="145" t="s">
        <v>705</v>
      </c>
      <c r="E200" s="97"/>
      <c r="F200" s="94"/>
      <c r="G200" s="94"/>
      <c r="H200" s="94"/>
      <c r="I200" s="94" t="b">
        <f>EXACT(C200,O200)</f>
        <v>1</v>
      </c>
      <c r="J200" s="94" t="b">
        <f>EXACT(D200,P200)</f>
        <v>1</v>
      </c>
      <c r="K200" s="94" t="s">
        <v>1568</v>
      </c>
      <c r="L200" s="94"/>
      <c r="M200" s="159" t="s">
        <v>673</v>
      </c>
      <c r="N200" s="159" t="s">
        <v>381</v>
      </c>
      <c r="O200" s="159" t="s">
        <v>704</v>
      </c>
      <c r="P200" s="189" t="s">
        <v>705</v>
      </c>
      <c r="Q200" s="130"/>
      <c r="R200" s="130"/>
      <c r="S200" s="130"/>
    </row>
    <row r="201" spans="1:19" s="75" customFormat="1" ht="62.15">
      <c r="A201" s="198" t="s">
        <v>673</v>
      </c>
      <c r="B201" s="144" t="s">
        <v>381</v>
      </c>
      <c r="C201" s="144" t="s">
        <v>706</v>
      </c>
      <c r="D201" s="145" t="s">
        <v>707</v>
      </c>
      <c r="E201" s="97"/>
      <c r="F201" s="94"/>
      <c r="G201" s="94"/>
      <c r="H201" s="94"/>
      <c r="I201" s="94" t="b">
        <f>EXACT(C201,O201)</f>
        <v>1</v>
      </c>
      <c r="J201" s="94" t="b">
        <f>EXACT(D201,P201)</f>
        <v>1</v>
      </c>
      <c r="K201" s="94" t="s">
        <v>1568</v>
      </c>
      <c r="L201" s="94"/>
      <c r="M201" s="159" t="s">
        <v>673</v>
      </c>
      <c r="N201" s="159" t="s">
        <v>381</v>
      </c>
      <c r="O201" s="159" t="s">
        <v>706</v>
      </c>
      <c r="P201" s="189" t="s">
        <v>707</v>
      </c>
      <c r="Q201" s="130"/>
      <c r="R201" s="130"/>
      <c r="S201" s="130"/>
    </row>
    <row r="202" spans="1:19" s="75" customFormat="1" ht="74.599999999999994">
      <c r="A202" s="198" t="s">
        <v>673</v>
      </c>
      <c r="B202" s="144" t="s">
        <v>381</v>
      </c>
      <c r="C202" s="144" t="s">
        <v>708</v>
      </c>
      <c r="D202" s="145" t="s">
        <v>709</v>
      </c>
      <c r="E202" s="97"/>
      <c r="F202" s="94"/>
      <c r="G202" s="94"/>
      <c r="H202" s="94"/>
      <c r="I202" s="94" t="b">
        <f>EXACT(C202,O202)</f>
        <v>1</v>
      </c>
      <c r="J202" s="94" t="b">
        <f>EXACT(D202,P202)</f>
        <v>1</v>
      </c>
      <c r="K202" s="94" t="s">
        <v>1568</v>
      </c>
      <c r="L202" s="94"/>
      <c r="M202" s="159" t="s">
        <v>673</v>
      </c>
      <c r="N202" s="159" t="s">
        <v>381</v>
      </c>
      <c r="O202" s="159" t="s">
        <v>708</v>
      </c>
      <c r="P202" s="189" t="s">
        <v>709</v>
      </c>
      <c r="Q202" s="130"/>
      <c r="R202" s="130"/>
      <c r="S202" s="130"/>
    </row>
    <row r="203" spans="1:19" s="75" customFormat="1" ht="62.15">
      <c r="A203" s="198" t="s">
        <v>673</v>
      </c>
      <c r="B203" s="144" t="s">
        <v>381</v>
      </c>
      <c r="C203" s="144" t="s">
        <v>710</v>
      </c>
      <c r="D203" s="145" t="s">
        <v>711</v>
      </c>
      <c r="E203" s="97"/>
      <c r="F203" s="94"/>
      <c r="G203" s="94"/>
      <c r="H203" s="94"/>
      <c r="I203" s="94" t="b">
        <f>EXACT(C203,O203)</f>
        <v>1</v>
      </c>
      <c r="J203" s="94" t="b">
        <f>EXACT(D203,P203)</f>
        <v>1</v>
      </c>
      <c r="K203" s="94" t="s">
        <v>1568</v>
      </c>
      <c r="L203" s="94"/>
      <c r="M203" s="159" t="s">
        <v>673</v>
      </c>
      <c r="N203" s="159" t="s">
        <v>381</v>
      </c>
      <c r="O203" s="159" t="s">
        <v>710</v>
      </c>
      <c r="P203" s="189" t="s">
        <v>711</v>
      </c>
      <c r="Q203" s="130"/>
      <c r="R203" s="130"/>
      <c r="S203" s="130"/>
    </row>
    <row r="204" spans="1:19" s="75" customFormat="1" ht="74.599999999999994">
      <c r="A204" s="198" t="s">
        <v>673</v>
      </c>
      <c r="B204" s="144" t="s">
        <v>381</v>
      </c>
      <c r="C204" s="144" t="s">
        <v>712</v>
      </c>
      <c r="D204" s="145" t="s">
        <v>713</v>
      </c>
      <c r="E204" s="97"/>
      <c r="F204" s="94"/>
      <c r="G204" s="94"/>
      <c r="H204" s="94"/>
      <c r="I204" s="94" t="b">
        <f>EXACT(C204,O204)</f>
        <v>1</v>
      </c>
      <c r="J204" s="94" t="b">
        <f>EXACT(D204,P204)</f>
        <v>1</v>
      </c>
      <c r="K204" s="94" t="s">
        <v>1568</v>
      </c>
      <c r="L204" s="94"/>
      <c r="M204" s="159" t="s">
        <v>673</v>
      </c>
      <c r="N204" s="159" t="s">
        <v>381</v>
      </c>
      <c r="O204" s="159" t="s">
        <v>712</v>
      </c>
      <c r="P204" s="189" t="s">
        <v>713</v>
      </c>
      <c r="Q204" s="130"/>
      <c r="R204" s="130"/>
      <c r="S204" s="130"/>
    </row>
    <row r="205" spans="1:19" s="75" customFormat="1" ht="99.45">
      <c r="A205" s="198" t="s">
        <v>673</v>
      </c>
      <c r="B205" s="144" t="s">
        <v>381</v>
      </c>
      <c r="C205" s="144" t="s">
        <v>714</v>
      </c>
      <c r="D205" s="145" t="s">
        <v>715</v>
      </c>
      <c r="E205" s="97"/>
      <c r="F205" s="94"/>
      <c r="G205" s="94"/>
      <c r="H205" s="94"/>
      <c r="I205" s="94" t="b">
        <f>EXACT(C205,O205)</f>
        <v>1</v>
      </c>
      <c r="J205" s="94" t="b">
        <f>EXACT(D205,P205)</f>
        <v>1</v>
      </c>
      <c r="K205" s="94" t="s">
        <v>1568</v>
      </c>
      <c r="L205" s="94"/>
      <c r="M205" s="159" t="s">
        <v>673</v>
      </c>
      <c r="N205" s="159" t="s">
        <v>381</v>
      </c>
      <c r="O205" s="159" t="s">
        <v>714</v>
      </c>
      <c r="P205" s="189" t="s">
        <v>715</v>
      </c>
      <c r="Q205" s="130"/>
      <c r="R205" s="130"/>
      <c r="S205" s="130"/>
    </row>
    <row r="206" spans="1:19" s="75" customFormat="1" ht="111.9">
      <c r="A206" s="198" t="s">
        <v>673</v>
      </c>
      <c r="B206" s="144" t="s">
        <v>381</v>
      </c>
      <c r="C206" s="144" t="s">
        <v>716</v>
      </c>
      <c r="D206" s="145" t="s">
        <v>717</v>
      </c>
      <c r="E206" s="97"/>
      <c r="F206" s="94"/>
      <c r="G206" s="94"/>
      <c r="H206" s="94"/>
      <c r="I206" s="94" t="b">
        <f>EXACT(C206,O206)</f>
        <v>1</v>
      </c>
      <c r="J206" s="94" t="b">
        <f>EXACT(D206,P206)</f>
        <v>1</v>
      </c>
      <c r="K206" s="94" t="s">
        <v>1568</v>
      </c>
      <c r="L206" s="94"/>
      <c r="M206" s="159" t="s">
        <v>673</v>
      </c>
      <c r="N206" s="159" t="s">
        <v>381</v>
      </c>
      <c r="O206" s="159" t="s">
        <v>716</v>
      </c>
      <c r="P206" s="189" t="s">
        <v>717</v>
      </c>
      <c r="Q206" s="130"/>
      <c r="R206" s="130"/>
      <c r="S206" s="130"/>
    </row>
    <row r="207" spans="1:19" s="75" customFormat="1" ht="29.15">
      <c r="A207" s="198"/>
      <c r="B207" s="144"/>
      <c r="C207" s="144"/>
      <c r="D207" s="145"/>
      <c r="E207" s="97"/>
      <c r="F207" s="94"/>
      <c r="G207" s="94"/>
      <c r="H207" s="94"/>
      <c r="I207" s="94" t="b">
        <f>EXACT(C207,O207)</f>
        <v>0</v>
      </c>
      <c r="J207" s="94" t="b">
        <f>EXACT(D207,P207)</f>
        <v>0</v>
      </c>
      <c r="K207" s="94" t="s">
        <v>1571</v>
      </c>
      <c r="L207" s="94" t="s">
        <v>1579</v>
      </c>
      <c r="M207" s="160" t="s">
        <v>673</v>
      </c>
      <c r="N207" s="167" t="s">
        <v>318</v>
      </c>
      <c r="O207" s="168" t="s">
        <v>1399</v>
      </c>
      <c r="P207" s="199" t="s">
        <v>1400</v>
      </c>
      <c r="Q207" s="130"/>
      <c r="R207" s="130"/>
      <c r="S207" s="130"/>
    </row>
    <row r="208" spans="1:19" s="75" customFormat="1" ht="87.45">
      <c r="A208" s="198"/>
      <c r="B208" s="144"/>
      <c r="C208" s="144"/>
      <c r="D208" s="145"/>
      <c r="E208" s="97"/>
      <c r="F208" s="94"/>
      <c r="G208" s="94"/>
      <c r="H208" s="94"/>
      <c r="I208" s="94" t="b">
        <f>EXACT(C208,O208)</f>
        <v>0</v>
      </c>
      <c r="J208" s="94" t="b">
        <f>EXACT(D208,P208)</f>
        <v>0</v>
      </c>
      <c r="K208" s="94" t="s">
        <v>1571</v>
      </c>
      <c r="L208" s="94" t="s">
        <v>1579</v>
      </c>
      <c r="M208" s="160" t="s">
        <v>673</v>
      </c>
      <c r="N208" s="159" t="s">
        <v>1401</v>
      </c>
      <c r="O208" s="168" t="s">
        <v>1404</v>
      </c>
      <c r="P208" s="200" t="s">
        <v>1405</v>
      </c>
      <c r="Q208" s="130"/>
      <c r="R208" s="130"/>
      <c r="S208" s="130"/>
    </row>
    <row r="209" spans="1:19" s="75" customFormat="1" ht="87.45">
      <c r="A209" s="198"/>
      <c r="B209" s="144"/>
      <c r="C209" s="144"/>
      <c r="D209" s="145"/>
      <c r="E209" s="97"/>
      <c r="F209" s="94"/>
      <c r="G209" s="94"/>
      <c r="H209" s="94"/>
      <c r="I209" s="94" t="b">
        <f>EXACT(C209,O209)</f>
        <v>0</v>
      </c>
      <c r="J209" s="94" t="b">
        <f>EXACT(D209,P209)</f>
        <v>0</v>
      </c>
      <c r="K209" s="94" t="s">
        <v>1571</v>
      </c>
      <c r="L209" s="94" t="s">
        <v>1579</v>
      </c>
      <c r="M209" s="160" t="s">
        <v>673</v>
      </c>
      <c r="N209" s="159" t="s">
        <v>1401</v>
      </c>
      <c r="O209" s="168" t="s">
        <v>1406</v>
      </c>
      <c r="P209" s="200" t="s">
        <v>1407</v>
      </c>
      <c r="Q209" s="130"/>
      <c r="R209" s="130"/>
      <c r="S209" s="130"/>
    </row>
    <row r="210" spans="1:19" s="75" customFormat="1" ht="72.900000000000006">
      <c r="A210" s="198"/>
      <c r="B210" s="144"/>
      <c r="C210" s="144"/>
      <c r="D210" s="145"/>
      <c r="E210" s="97"/>
      <c r="F210" s="94"/>
      <c r="G210" s="94"/>
      <c r="H210" s="94"/>
      <c r="I210" s="94" t="b">
        <f>EXACT(C210,O210)</f>
        <v>0</v>
      </c>
      <c r="J210" s="94" t="b">
        <f>EXACT(D210,P210)</f>
        <v>0</v>
      </c>
      <c r="K210" s="94" t="s">
        <v>1571</v>
      </c>
      <c r="L210" s="94" t="s">
        <v>1579</v>
      </c>
      <c r="M210" s="160" t="s">
        <v>673</v>
      </c>
      <c r="N210" s="159" t="s">
        <v>1401</v>
      </c>
      <c r="O210" s="168" t="s">
        <v>1408</v>
      </c>
      <c r="P210" s="200" t="s">
        <v>1409</v>
      </c>
      <c r="Q210" s="130"/>
      <c r="R210" s="130"/>
      <c r="S210" s="130"/>
    </row>
    <row r="211" spans="1:19" s="75" customFormat="1" ht="72.900000000000006">
      <c r="A211" s="198"/>
      <c r="B211" s="144"/>
      <c r="C211" s="144"/>
      <c r="D211" s="145"/>
      <c r="E211" s="97"/>
      <c r="F211" s="94"/>
      <c r="G211" s="94"/>
      <c r="H211" s="94"/>
      <c r="I211" s="94" t="b">
        <f>EXACT(C211,O211)</f>
        <v>0</v>
      </c>
      <c r="J211" s="94" t="b">
        <f>EXACT(D211,P211)</f>
        <v>0</v>
      </c>
      <c r="K211" s="94" t="s">
        <v>1571</v>
      </c>
      <c r="L211" s="94" t="s">
        <v>1579</v>
      </c>
      <c r="M211" s="160" t="s">
        <v>673</v>
      </c>
      <c r="N211" s="159" t="s">
        <v>1401</v>
      </c>
      <c r="O211" s="168" t="s">
        <v>1410</v>
      </c>
      <c r="P211" s="200" t="s">
        <v>1411</v>
      </c>
      <c r="Q211" s="130"/>
      <c r="R211" s="130"/>
      <c r="S211" s="130"/>
    </row>
    <row r="212" spans="1:19" s="75" customFormat="1" ht="72.900000000000006">
      <c r="A212" s="198"/>
      <c r="B212" s="144"/>
      <c r="C212" s="144"/>
      <c r="D212" s="145"/>
      <c r="E212" s="97"/>
      <c r="F212" s="94"/>
      <c r="G212" s="94"/>
      <c r="H212" s="94"/>
      <c r="I212" s="94" t="b">
        <f>EXACT(C212,O212)</f>
        <v>0</v>
      </c>
      <c r="J212" s="94" t="b">
        <f>EXACT(D212,P212)</f>
        <v>0</v>
      </c>
      <c r="K212" s="94" t="s">
        <v>1571</v>
      </c>
      <c r="L212" s="94" t="s">
        <v>1579</v>
      </c>
      <c r="M212" s="160" t="s">
        <v>673</v>
      </c>
      <c r="N212" s="159" t="s">
        <v>1401</v>
      </c>
      <c r="O212" s="168" t="s">
        <v>1412</v>
      </c>
      <c r="P212" s="200" t="s">
        <v>1413</v>
      </c>
      <c r="Q212" s="130"/>
      <c r="R212" s="130"/>
      <c r="S212" s="130"/>
    </row>
    <row r="213" spans="1:19" s="75" customFormat="1" ht="72.900000000000006">
      <c r="A213" s="198"/>
      <c r="B213" s="144"/>
      <c r="C213" s="144"/>
      <c r="D213" s="145"/>
      <c r="E213" s="97"/>
      <c r="F213" s="94"/>
      <c r="G213" s="94"/>
      <c r="H213" s="94"/>
      <c r="I213" s="94" t="b">
        <f>EXACT(C213,O213)</f>
        <v>0</v>
      </c>
      <c r="J213" s="94" t="b">
        <f>EXACT(D213,P213)</f>
        <v>0</v>
      </c>
      <c r="K213" s="94" t="s">
        <v>1571</v>
      </c>
      <c r="L213" s="94" t="s">
        <v>1579</v>
      </c>
      <c r="M213" s="160" t="s">
        <v>673</v>
      </c>
      <c r="N213" s="159" t="s">
        <v>1401</v>
      </c>
      <c r="O213" s="168" t="s">
        <v>1414</v>
      </c>
      <c r="P213" s="200" t="s">
        <v>1415</v>
      </c>
      <c r="Q213" s="130"/>
      <c r="R213" s="130"/>
      <c r="S213" s="130"/>
    </row>
    <row r="214" spans="1:19" s="75" customFormat="1" ht="72.900000000000006">
      <c r="A214" s="198"/>
      <c r="B214" s="144"/>
      <c r="C214" s="144"/>
      <c r="D214" s="145"/>
      <c r="E214" s="97"/>
      <c r="F214" s="94"/>
      <c r="G214" s="94"/>
      <c r="H214" s="94"/>
      <c r="I214" s="94" t="b">
        <f>EXACT(C214,O214)</f>
        <v>0</v>
      </c>
      <c r="J214" s="94" t="b">
        <f>EXACT(D214,P214)</f>
        <v>0</v>
      </c>
      <c r="K214" s="94" t="s">
        <v>1571</v>
      </c>
      <c r="L214" s="94" t="s">
        <v>1579</v>
      </c>
      <c r="M214" s="160" t="s">
        <v>673</v>
      </c>
      <c r="N214" s="159" t="s">
        <v>1401</v>
      </c>
      <c r="O214" s="168" t="s">
        <v>1416</v>
      </c>
      <c r="P214" s="200" t="s">
        <v>1417</v>
      </c>
      <c r="Q214" s="130"/>
      <c r="R214" s="130"/>
      <c r="S214" s="130"/>
    </row>
    <row r="215" spans="1:19" s="75" customFormat="1" ht="72.900000000000006">
      <c r="A215" s="198"/>
      <c r="B215" s="144"/>
      <c r="C215" s="144"/>
      <c r="D215" s="145"/>
      <c r="E215" s="97"/>
      <c r="F215" s="94"/>
      <c r="G215" s="94"/>
      <c r="H215" s="94"/>
      <c r="I215" s="94" t="b">
        <f>EXACT(C215,O215)</f>
        <v>0</v>
      </c>
      <c r="J215" s="94" t="b">
        <f>EXACT(D215,P215)</f>
        <v>0</v>
      </c>
      <c r="K215" s="94" t="s">
        <v>1571</v>
      </c>
      <c r="L215" s="94" t="s">
        <v>1579</v>
      </c>
      <c r="M215" s="160" t="s">
        <v>673</v>
      </c>
      <c r="N215" s="159" t="s">
        <v>1418</v>
      </c>
      <c r="O215" s="168" t="s">
        <v>1420</v>
      </c>
      <c r="P215" s="200" t="s">
        <v>1421</v>
      </c>
      <c r="Q215" s="130"/>
      <c r="R215" s="130"/>
      <c r="S215" s="130"/>
    </row>
    <row r="216" spans="1:19" s="75" customFormat="1" ht="87.45">
      <c r="A216" s="198"/>
      <c r="B216" s="144"/>
      <c r="C216" s="144"/>
      <c r="D216" s="145"/>
      <c r="E216" s="97"/>
      <c r="F216" s="94"/>
      <c r="G216" s="94"/>
      <c r="H216" s="94"/>
      <c r="I216" s="94" t="b">
        <f>EXACT(C216,O216)</f>
        <v>0</v>
      </c>
      <c r="J216" s="94" t="b">
        <f>EXACT(D216,P216)</f>
        <v>0</v>
      </c>
      <c r="K216" s="94" t="s">
        <v>1571</v>
      </c>
      <c r="L216" s="94" t="s">
        <v>1579</v>
      </c>
      <c r="M216" s="160" t="s">
        <v>673</v>
      </c>
      <c r="N216" s="159" t="s">
        <v>1418</v>
      </c>
      <c r="O216" s="168" t="s">
        <v>1422</v>
      </c>
      <c r="P216" s="200" t="s">
        <v>1423</v>
      </c>
      <c r="Q216" s="130"/>
      <c r="R216" s="130"/>
      <c r="S216" s="130"/>
    </row>
    <row r="217" spans="1:19" s="75" customFormat="1" ht="87.45">
      <c r="A217" s="198"/>
      <c r="B217" s="144"/>
      <c r="C217" s="144"/>
      <c r="D217" s="145"/>
      <c r="E217" s="97"/>
      <c r="F217" s="94"/>
      <c r="G217" s="94"/>
      <c r="H217" s="94"/>
      <c r="I217" s="94" t="b">
        <f>EXACT(C217,O217)</f>
        <v>0</v>
      </c>
      <c r="J217" s="94" t="b">
        <f>EXACT(D217,P217)</f>
        <v>0</v>
      </c>
      <c r="K217" s="94" t="s">
        <v>1571</v>
      </c>
      <c r="L217" s="94" t="s">
        <v>1579</v>
      </c>
      <c r="M217" s="160" t="s">
        <v>673</v>
      </c>
      <c r="N217" s="159" t="s">
        <v>1418</v>
      </c>
      <c r="O217" s="168" t="s">
        <v>1424</v>
      </c>
      <c r="P217" s="200" t="s">
        <v>1425</v>
      </c>
      <c r="Q217" s="132"/>
      <c r="R217" s="132"/>
      <c r="S217" s="132"/>
    </row>
    <row r="218" spans="1:19" s="75" customFormat="1" ht="87.45">
      <c r="A218" s="198"/>
      <c r="B218" s="144"/>
      <c r="C218" s="144"/>
      <c r="D218" s="145"/>
      <c r="E218" s="97"/>
      <c r="F218" s="94"/>
      <c r="G218" s="94"/>
      <c r="H218" s="94"/>
      <c r="I218" s="94" t="b">
        <f>EXACT(C218,O218)</f>
        <v>0</v>
      </c>
      <c r="J218" s="94" t="b">
        <f>EXACT(D218,P218)</f>
        <v>0</v>
      </c>
      <c r="K218" s="94" t="s">
        <v>1571</v>
      </c>
      <c r="L218" s="94" t="s">
        <v>1579</v>
      </c>
      <c r="M218" s="160" t="s">
        <v>673</v>
      </c>
      <c r="N218" s="159" t="s">
        <v>1418</v>
      </c>
      <c r="O218" s="168" t="s">
        <v>1426</v>
      </c>
      <c r="P218" s="200" t="s">
        <v>1427</v>
      </c>
      <c r="Q218" s="130"/>
      <c r="R218" s="130"/>
      <c r="S218" s="130"/>
    </row>
    <row r="219" spans="1:19" s="75" customFormat="1" ht="72.900000000000006">
      <c r="A219" s="198"/>
      <c r="B219" s="144"/>
      <c r="C219" s="144"/>
      <c r="D219" s="145"/>
      <c r="E219" s="97"/>
      <c r="F219" s="94"/>
      <c r="G219" s="94"/>
      <c r="H219" s="94"/>
      <c r="I219" s="94" t="b">
        <f>EXACT(C219,O219)</f>
        <v>0</v>
      </c>
      <c r="J219" s="94" t="b">
        <f>EXACT(D219,P219)</f>
        <v>0</v>
      </c>
      <c r="K219" s="94" t="s">
        <v>1571</v>
      </c>
      <c r="L219" s="94" t="s">
        <v>1579</v>
      </c>
      <c r="M219" s="160" t="s">
        <v>673</v>
      </c>
      <c r="N219" s="159" t="s">
        <v>1418</v>
      </c>
      <c r="O219" s="168" t="s">
        <v>1428</v>
      </c>
      <c r="P219" s="200" t="s">
        <v>1429</v>
      </c>
      <c r="Q219" s="130"/>
      <c r="R219" s="130"/>
      <c r="S219" s="130"/>
    </row>
    <row r="220" spans="1:19" s="75" customFormat="1" ht="72.900000000000006">
      <c r="A220" s="198"/>
      <c r="B220" s="144"/>
      <c r="C220" s="144"/>
      <c r="D220" s="145"/>
      <c r="E220" s="97"/>
      <c r="F220" s="94"/>
      <c r="G220" s="94"/>
      <c r="H220" s="94"/>
      <c r="I220" s="94" t="b">
        <f>EXACT(C220,O220)</f>
        <v>0</v>
      </c>
      <c r="J220" s="94" t="b">
        <f>EXACT(D220,P220)</f>
        <v>0</v>
      </c>
      <c r="K220" s="94" t="s">
        <v>1571</v>
      </c>
      <c r="L220" s="94" t="s">
        <v>1579</v>
      </c>
      <c r="M220" s="160" t="s">
        <v>673</v>
      </c>
      <c r="N220" s="159" t="s">
        <v>1418</v>
      </c>
      <c r="O220" s="168" t="s">
        <v>1430</v>
      </c>
      <c r="P220" s="200" t="s">
        <v>1431</v>
      </c>
      <c r="Q220" s="130"/>
      <c r="R220" s="130"/>
      <c r="S220" s="130"/>
    </row>
    <row r="221" spans="1:19" s="75" customFormat="1" ht="72.900000000000006">
      <c r="A221" s="198"/>
      <c r="B221" s="144"/>
      <c r="C221" s="144"/>
      <c r="D221" s="145"/>
      <c r="E221" s="97"/>
      <c r="F221" s="94"/>
      <c r="G221" s="94"/>
      <c r="H221" s="94"/>
      <c r="I221" s="94" t="b">
        <f>EXACT(C221,O221)</f>
        <v>0</v>
      </c>
      <c r="J221" s="94" t="b">
        <f>EXACT(D221,P221)</f>
        <v>0</v>
      </c>
      <c r="K221" s="94" t="s">
        <v>1571</v>
      </c>
      <c r="L221" s="94" t="s">
        <v>1579</v>
      </c>
      <c r="M221" s="160" t="s">
        <v>673</v>
      </c>
      <c r="N221" s="159" t="s">
        <v>1418</v>
      </c>
      <c r="O221" s="168" t="s">
        <v>1432</v>
      </c>
      <c r="P221" s="200" t="s">
        <v>1433</v>
      </c>
      <c r="Q221" s="130"/>
      <c r="R221" s="130"/>
      <c r="S221" s="130"/>
    </row>
    <row r="222" spans="1:19" s="75" customFormat="1" ht="72.900000000000006">
      <c r="A222" s="198"/>
      <c r="B222" s="144"/>
      <c r="C222" s="144"/>
      <c r="D222" s="145"/>
      <c r="E222" s="97"/>
      <c r="F222" s="94"/>
      <c r="G222" s="94"/>
      <c r="H222" s="94"/>
      <c r="I222" s="94" t="b">
        <f>EXACT(C222,O222)</f>
        <v>0</v>
      </c>
      <c r="J222" s="94" t="b">
        <f>EXACT(D222,P222)</f>
        <v>0</v>
      </c>
      <c r="K222" s="94" t="s">
        <v>1571</v>
      </c>
      <c r="L222" s="94" t="s">
        <v>1579</v>
      </c>
      <c r="M222" s="160" t="s">
        <v>673</v>
      </c>
      <c r="N222" s="159" t="s">
        <v>1418</v>
      </c>
      <c r="O222" s="168" t="s">
        <v>1434</v>
      </c>
      <c r="P222" s="200" t="s">
        <v>1435</v>
      </c>
      <c r="Q222" s="131"/>
      <c r="R222" s="131"/>
      <c r="S222" s="131"/>
    </row>
    <row r="223" spans="1:19" s="75" customFormat="1" ht="72.900000000000006">
      <c r="A223" s="198"/>
      <c r="B223" s="144"/>
      <c r="C223" s="144"/>
      <c r="D223" s="145"/>
      <c r="E223" s="97"/>
      <c r="F223" s="94"/>
      <c r="G223" s="94"/>
      <c r="H223" s="94"/>
      <c r="I223" s="94" t="b">
        <f>EXACT(C223,O223)</f>
        <v>0</v>
      </c>
      <c r="J223" s="94" t="b">
        <f>EXACT(D223,P223)</f>
        <v>0</v>
      </c>
      <c r="K223" s="94" t="s">
        <v>1571</v>
      </c>
      <c r="L223" s="94" t="s">
        <v>1579</v>
      </c>
      <c r="M223" s="160" t="s">
        <v>673</v>
      </c>
      <c r="N223" s="167" t="s">
        <v>1436</v>
      </c>
      <c r="O223" s="168" t="s">
        <v>1437</v>
      </c>
      <c r="P223" s="200" t="s">
        <v>1438</v>
      </c>
      <c r="Q223" s="130"/>
      <c r="R223" s="130"/>
      <c r="S223" s="130"/>
    </row>
    <row r="224" spans="1:19" s="75" customFormat="1" ht="72.900000000000006">
      <c r="A224" s="198"/>
      <c r="B224" s="144"/>
      <c r="C224" s="144"/>
      <c r="D224" s="145"/>
      <c r="E224" s="97"/>
      <c r="F224" s="94"/>
      <c r="G224" s="94"/>
      <c r="H224" s="94"/>
      <c r="I224" s="94" t="b">
        <f>EXACT(C224,O224)</f>
        <v>0</v>
      </c>
      <c r="J224" s="94" t="b">
        <f>EXACT(D224,P224)</f>
        <v>0</v>
      </c>
      <c r="K224" s="94" t="s">
        <v>1571</v>
      </c>
      <c r="L224" s="94" t="s">
        <v>1579</v>
      </c>
      <c r="M224" s="160" t="s">
        <v>673</v>
      </c>
      <c r="N224" s="167" t="s">
        <v>1436</v>
      </c>
      <c r="O224" s="168" t="s">
        <v>1439</v>
      </c>
      <c r="P224" s="200" t="s">
        <v>1440</v>
      </c>
      <c r="Q224" s="130"/>
      <c r="R224" s="130"/>
      <c r="S224" s="130"/>
    </row>
    <row r="225" spans="1:19" s="75" customFormat="1" ht="72.900000000000006">
      <c r="A225" s="198"/>
      <c r="B225" s="144"/>
      <c r="C225" s="144"/>
      <c r="D225" s="145"/>
      <c r="E225" s="97"/>
      <c r="F225" s="94"/>
      <c r="G225" s="94"/>
      <c r="H225" s="94"/>
      <c r="I225" s="94" t="b">
        <f>EXACT(C225,O225)</f>
        <v>0</v>
      </c>
      <c r="J225" s="94" t="b">
        <f>EXACT(D225,P225)</f>
        <v>0</v>
      </c>
      <c r="K225" s="94" t="s">
        <v>1571</v>
      </c>
      <c r="L225" s="94" t="s">
        <v>1579</v>
      </c>
      <c r="M225" s="160" t="s">
        <v>673</v>
      </c>
      <c r="N225" s="167" t="s">
        <v>1436</v>
      </c>
      <c r="O225" s="168" t="s">
        <v>1441</v>
      </c>
      <c r="P225" s="200" t="s">
        <v>1442</v>
      </c>
      <c r="Q225" s="130"/>
      <c r="R225" s="130"/>
      <c r="S225" s="130"/>
    </row>
    <row r="226" spans="1:19" s="75" customFormat="1" ht="72.900000000000006">
      <c r="A226" s="198"/>
      <c r="B226" s="144"/>
      <c r="C226" s="144"/>
      <c r="D226" s="145"/>
      <c r="E226" s="97"/>
      <c r="F226" s="94"/>
      <c r="G226" s="94"/>
      <c r="H226" s="94"/>
      <c r="I226" s="94" t="b">
        <f>EXACT(C226,O226)</f>
        <v>0</v>
      </c>
      <c r="J226" s="94" t="b">
        <f>EXACT(D226,P226)</f>
        <v>0</v>
      </c>
      <c r="K226" s="94" t="s">
        <v>1571</v>
      </c>
      <c r="L226" s="94" t="s">
        <v>1579</v>
      </c>
      <c r="M226" s="160" t="s">
        <v>673</v>
      </c>
      <c r="N226" s="167" t="s">
        <v>1443</v>
      </c>
      <c r="O226" s="168" t="s">
        <v>1444</v>
      </c>
      <c r="P226" s="200" t="s">
        <v>1445</v>
      </c>
      <c r="Q226" s="130"/>
      <c r="R226" s="130"/>
      <c r="S226" s="130"/>
    </row>
    <row r="227" spans="1:19" s="75" customFormat="1" ht="72.900000000000006">
      <c r="A227" s="198"/>
      <c r="B227" s="144"/>
      <c r="C227" s="144"/>
      <c r="D227" s="145"/>
      <c r="E227" s="97"/>
      <c r="F227" s="94"/>
      <c r="G227" s="94"/>
      <c r="H227" s="94"/>
      <c r="I227" s="94" t="b">
        <f>EXACT(C227,O227)</f>
        <v>0</v>
      </c>
      <c r="J227" s="94" t="b">
        <f>EXACT(D227,P227)</f>
        <v>0</v>
      </c>
      <c r="K227" s="94" t="s">
        <v>1571</v>
      </c>
      <c r="L227" s="94" t="s">
        <v>1579</v>
      </c>
      <c r="M227" s="160" t="s">
        <v>673</v>
      </c>
      <c r="N227" s="167" t="s">
        <v>1443</v>
      </c>
      <c r="O227" s="168" t="s">
        <v>1446</v>
      </c>
      <c r="P227" s="200" t="s">
        <v>1447</v>
      </c>
      <c r="Q227" s="130"/>
      <c r="R227" s="130"/>
      <c r="S227" s="130"/>
    </row>
    <row r="228" spans="1:19" s="75" customFormat="1" ht="72.900000000000006">
      <c r="A228" s="198"/>
      <c r="B228" s="144"/>
      <c r="C228" s="144"/>
      <c r="D228" s="145"/>
      <c r="E228" s="97"/>
      <c r="F228" s="94"/>
      <c r="G228" s="94"/>
      <c r="H228" s="94"/>
      <c r="I228" s="94" t="b">
        <f>EXACT(C228,O228)</f>
        <v>0</v>
      </c>
      <c r="J228" s="94" t="b">
        <f>EXACT(D228,P228)</f>
        <v>0</v>
      </c>
      <c r="K228" s="94" t="s">
        <v>1571</v>
      </c>
      <c r="L228" s="94" t="s">
        <v>1579</v>
      </c>
      <c r="M228" s="160" t="s">
        <v>673</v>
      </c>
      <c r="N228" s="167" t="s">
        <v>1443</v>
      </c>
      <c r="O228" s="168" t="s">
        <v>1448</v>
      </c>
      <c r="P228" s="200" t="s">
        <v>1449</v>
      </c>
      <c r="Q228" s="130"/>
      <c r="R228" s="130"/>
      <c r="S228" s="130"/>
    </row>
    <row r="229" spans="1:19" s="75" customFormat="1" ht="72.900000000000006">
      <c r="A229" s="198"/>
      <c r="B229" s="144"/>
      <c r="C229" s="144"/>
      <c r="D229" s="145"/>
      <c r="E229" s="97"/>
      <c r="F229" s="94"/>
      <c r="G229" s="94"/>
      <c r="H229" s="94"/>
      <c r="I229" s="94" t="b">
        <f>EXACT(C229,O229)</f>
        <v>0</v>
      </c>
      <c r="J229" s="94" t="b">
        <f>EXACT(D229,P229)</f>
        <v>0</v>
      </c>
      <c r="K229" s="94" t="s">
        <v>1571</v>
      </c>
      <c r="L229" s="94" t="s">
        <v>1579</v>
      </c>
      <c r="M229" s="160" t="s">
        <v>673</v>
      </c>
      <c r="N229" s="167" t="s">
        <v>1443</v>
      </c>
      <c r="O229" s="168" t="s">
        <v>1450</v>
      </c>
      <c r="P229" s="200" t="s">
        <v>1451</v>
      </c>
      <c r="Q229" s="130"/>
      <c r="R229" s="130"/>
      <c r="S229" s="130"/>
    </row>
    <row r="230" spans="1:19" s="75" customFormat="1" ht="62.15">
      <c r="A230" s="198"/>
      <c r="B230" s="144"/>
      <c r="C230" s="144"/>
      <c r="D230" s="145"/>
      <c r="E230" s="97"/>
      <c r="F230" s="94"/>
      <c r="G230" s="94"/>
      <c r="H230" s="94"/>
      <c r="I230" s="94" t="b">
        <f>EXACT(C230,O230)</f>
        <v>0</v>
      </c>
      <c r="J230" s="94" t="b">
        <f>EXACT(D230,P230)</f>
        <v>0</v>
      </c>
      <c r="K230" s="94" t="s">
        <v>1571</v>
      </c>
      <c r="L230" s="94" t="s">
        <v>1579</v>
      </c>
      <c r="M230" s="160" t="s">
        <v>673</v>
      </c>
      <c r="N230" s="167" t="s">
        <v>1443</v>
      </c>
      <c r="O230" s="168" t="s">
        <v>1566</v>
      </c>
      <c r="P230" s="189" t="s">
        <v>1567</v>
      </c>
      <c r="Q230" s="130"/>
      <c r="R230" s="130"/>
      <c r="S230" s="130"/>
    </row>
    <row r="231" spans="1:19" s="75" customFormat="1" ht="14.6">
      <c r="A231" s="198" t="s">
        <v>673</v>
      </c>
      <c r="B231" s="144" t="s">
        <v>318</v>
      </c>
      <c r="C231" s="144" t="s">
        <v>678</v>
      </c>
      <c r="D231" s="145" t="s">
        <v>679</v>
      </c>
      <c r="E231" s="97"/>
      <c r="F231" s="94"/>
      <c r="G231" s="94"/>
      <c r="H231" s="94"/>
      <c r="I231" s="94" t="b">
        <f>EXACT(C231,O231)</f>
        <v>1</v>
      </c>
      <c r="J231" s="94" t="b">
        <f>EXACT(D231,P231)</f>
        <v>1</v>
      </c>
      <c r="K231" s="94" t="s">
        <v>1568</v>
      </c>
      <c r="L231" s="94"/>
      <c r="M231" s="159" t="s">
        <v>673</v>
      </c>
      <c r="N231" s="159" t="s">
        <v>318</v>
      </c>
      <c r="O231" s="159" t="s">
        <v>678</v>
      </c>
      <c r="P231" s="189" t="s">
        <v>679</v>
      </c>
      <c r="Q231" s="130"/>
      <c r="R231" s="130"/>
      <c r="S231" s="130"/>
    </row>
    <row r="232" spans="1:19" s="75" customFormat="1" ht="37.299999999999997">
      <c r="A232" s="188" t="s">
        <v>1182</v>
      </c>
      <c r="B232" s="147" t="s">
        <v>1202</v>
      </c>
      <c r="C232" s="144" t="s">
        <v>1203</v>
      </c>
      <c r="D232" s="145" t="s">
        <v>1204</v>
      </c>
      <c r="E232" s="41"/>
      <c r="F232" s="93"/>
      <c r="G232" s="41"/>
      <c r="H232" s="76"/>
      <c r="I232" s="94" t="b">
        <f>EXACT(C232,O232)</f>
        <v>1</v>
      </c>
      <c r="J232" s="94" t="b">
        <f>EXACT(D232,P232)</f>
        <v>1</v>
      </c>
      <c r="K232" s="94" t="s">
        <v>1568</v>
      </c>
      <c r="L232" s="94"/>
      <c r="M232" s="160" t="s">
        <v>1182</v>
      </c>
      <c r="N232" s="160" t="s">
        <v>1202</v>
      </c>
      <c r="O232" s="159" t="s">
        <v>1203</v>
      </c>
      <c r="P232" s="189" t="s">
        <v>1204</v>
      </c>
      <c r="Q232" s="130"/>
      <c r="R232" s="130"/>
      <c r="S232" s="130"/>
    </row>
    <row r="233" spans="1:19" s="75" customFormat="1" ht="14.6">
      <c r="A233" s="188" t="s">
        <v>718</v>
      </c>
      <c r="B233" s="147" t="s">
        <v>719</v>
      </c>
      <c r="C233" s="144" t="s">
        <v>720</v>
      </c>
      <c r="D233" s="154" t="s">
        <v>721</v>
      </c>
      <c r="E233" s="97"/>
      <c r="F233" s="94"/>
      <c r="G233" s="94"/>
      <c r="H233" s="94"/>
      <c r="I233" s="94" t="b">
        <f>EXACT(C233,O233)</f>
        <v>1</v>
      </c>
      <c r="J233" s="94" t="b">
        <f>EXACT(D233,P233)</f>
        <v>1</v>
      </c>
      <c r="K233" s="94" t="s">
        <v>1568</v>
      </c>
      <c r="L233" s="94"/>
      <c r="M233" s="160" t="s">
        <v>718</v>
      </c>
      <c r="N233" s="160" t="s">
        <v>719</v>
      </c>
      <c r="O233" s="159" t="s">
        <v>720</v>
      </c>
      <c r="P233" s="201" t="s">
        <v>721</v>
      </c>
      <c r="Q233" s="130"/>
      <c r="R233" s="130"/>
      <c r="S233" s="130"/>
    </row>
    <row r="234" spans="1:19" s="75" customFormat="1" ht="24.9">
      <c r="A234" s="188" t="s">
        <v>718</v>
      </c>
      <c r="B234" s="147" t="s">
        <v>719</v>
      </c>
      <c r="C234" s="144" t="s">
        <v>722</v>
      </c>
      <c r="D234" s="145" t="s">
        <v>723</v>
      </c>
      <c r="E234" s="97"/>
      <c r="F234" s="94"/>
      <c r="G234" s="94"/>
      <c r="H234" s="94"/>
      <c r="I234" s="94" t="b">
        <f>EXACT(C234,O234)</f>
        <v>1</v>
      </c>
      <c r="J234" s="94" t="b">
        <f>EXACT(D234,P234)</f>
        <v>1</v>
      </c>
      <c r="K234" s="94" t="s">
        <v>1568</v>
      </c>
      <c r="L234" s="94"/>
      <c r="M234" s="160" t="s">
        <v>718</v>
      </c>
      <c r="N234" s="160" t="s">
        <v>719</v>
      </c>
      <c r="O234" s="159" t="s">
        <v>722</v>
      </c>
      <c r="P234" s="189" t="s">
        <v>723</v>
      </c>
      <c r="Q234" s="130"/>
      <c r="R234" s="130"/>
      <c r="S234" s="130"/>
    </row>
    <row r="235" spans="1:19" s="75" customFormat="1" ht="24.9">
      <c r="A235" s="188" t="s">
        <v>718</v>
      </c>
      <c r="B235" s="147" t="s">
        <v>719</v>
      </c>
      <c r="C235" s="144" t="s">
        <v>724</v>
      </c>
      <c r="D235" s="145" t="s">
        <v>725</v>
      </c>
      <c r="E235" s="97"/>
      <c r="F235" s="94"/>
      <c r="G235" s="94"/>
      <c r="H235" s="94"/>
      <c r="I235" s="94" t="b">
        <f>EXACT(C235,O235)</f>
        <v>1</v>
      </c>
      <c r="J235" s="94" t="b">
        <f>EXACT(D235,P235)</f>
        <v>1</v>
      </c>
      <c r="K235" s="94" t="s">
        <v>1568</v>
      </c>
      <c r="L235" s="94"/>
      <c r="M235" s="160" t="s">
        <v>718</v>
      </c>
      <c r="N235" s="160" t="s">
        <v>719</v>
      </c>
      <c r="O235" s="159" t="s">
        <v>724</v>
      </c>
      <c r="P235" s="189" t="s">
        <v>725</v>
      </c>
      <c r="Q235" s="130"/>
      <c r="R235" s="130"/>
      <c r="S235" s="130"/>
    </row>
    <row r="236" spans="1:19" s="75" customFormat="1" ht="37.299999999999997">
      <c r="A236" s="188" t="s">
        <v>718</v>
      </c>
      <c r="B236" s="147" t="s">
        <v>719</v>
      </c>
      <c r="C236" s="144" t="s">
        <v>726</v>
      </c>
      <c r="D236" s="145" t="s">
        <v>727</v>
      </c>
      <c r="E236" s="97"/>
      <c r="F236" s="94"/>
      <c r="G236" s="94"/>
      <c r="H236" s="94"/>
      <c r="I236" s="94" t="b">
        <f>EXACT(C236,O236)</f>
        <v>1</v>
      </c>
      <c r="J236" s="94" t="b">
        <f>EXACT(D236,P236)</f>
        <v>1</v>
      </c>
      <c r="K236" s="94" t="s">
        <v>1568</v>
      </c>
      <c r="L236" s="94"/>
      <c r="M236" s="160" t="s">
        <v>718</v>
      </c>
      <c r="N236" s="160" t="s">
        <v>719</v>
      </c>
      <c r="O236" s="159" t="s">
        <v>726</v>
      </c>
      <c r="P236" s="189" t="s">
        <v>727</v>
      </c>
      <c r="Q236" s="130"/>
      <c r="R236" s="130"/>
      <c r="S236" s="130"/>
    </row>
    <row r="237" spans="1:19" s="75" customFormat="1" ht="49.75">
      <c r="A237" s="188" t="s">
        <v>718</v>
      </c>
      <c r="B237" s="147" t="s">
        <v>817</v>
      </c>
      <c r="C237" s="144" t="s">
        <v>818</v>
      </c>
      <c r="D237" s="145" t="s">
        <v>819</v>
      </c>
      <c r="E237" s="97"/>
      <c r="F237" s="94"/>
      <c r="G237" s="94"/>
      <c r="H237" s="94"/>
      <c r="I237" s="94" t="b">
        <f>EXACT(C237,O237)</f>
        <v>1</v>
      </c>
      <c r="J237" s="94" t="b">
        <f>EXACT(D237,P237)</f>
        <v>1</v>
      </c>
      <c r="K237" s="94" t="s">
        <v>1568</v>
      </c>
      <c r="L237" s="94"/>
      <c r="M237" s="160" t="s">
        <v>718</v>
      </c>
      <c r="N237" s="160" t="s">
        <v>817</v>
      </c>
      <c r="O237" s="159" t="s">
        <v>818</v>
      </c>
      <c r="P237" s="189" t="s">
        <v>819</v>
      </c>
      <c r="Q237" s="130"/>
      <c r="R237" s="130"/>
      <c r="S237" s="130"/>
    </row>
    <row r="238" spans="1:19" s="75" customFormat="1" ht="49.75">
      <c r="A238" s="188" t="s">
        <v>718</v>
      </c>
      <c r="B238" s="147" t="s">
        <v>817</v>
      </c>
      <c r="C238" s="144" t="s">
        <v>820</v>
      </c>
      <c r="D238" s="145" t="s">
        <v>821</v>
      </c>
      <c r="E238" s="97"/>
      <c r="F238" s="94"/>
      <c r="G238" s="94"/>
      <c r="H238" s="94"/>
      <c r="I238" s="94" t="b">
        <f>EXACT(C238,O238)</f>
        <v>1</v>
      </c>
      <c r="J238" s="94" t="b">
        <f>EXACT(D238,P238)</f>
        <v>1</v>
      </c>
      <c r="K238" s="94" t="s">
        <v>1568</v>
      </c>
      <c r="L238" s="94"/>
      <c r="M238" s="160" t="s">
        <v>718</v>
      </c>
      <c r="N238" s="160" t="s">
        <v>817</v>
      </c>
      <c r="O238" s="159" t="s">
        <v>820</v>
      </c>
      <c r="P238" s="189" t="s">
        <v>821</v>
      </c>
      <c r="Q238" s="130"/>
      <c r="R238" s="130"/>
      <c r="S238" s="130"/>
    </row>
    <row r="239" spans="1:19" s="75" customFormat="1" ht="49.75">
      <c r="A239" s="188" t="s">
        <v>718</v>
      </c>
      <c r="B239" s="147" t="s">
        <v>817</v>
      </c>
      <c r="C239" s="144" t="s">
        <v>822</v>
      </c>
      <c r="D239" s="145" t="s">
        <v>823</v>
      </c>
      <c r="E239" s="97"/>
      <c r="F239" s="94"/>
      <c r="G239" s="94"/>
      <c r="H239" s="94"/>
      <c r="I239" s="94" t="b">
        <f>EXACT(C239,O239)</f>
        <v>1</v>
      </c>
      <c r="J239" s="94" t="b">
        <f>EXACT(D239,P239)</f>
        <v>1</v>
      </c>
      <c r="K239" s="94" t="s">
        <v>1568</v>
      </c>
      <c r="L239" s="94"/>
      <c r="M239" s="160" t="s">
        <v>718</v>
      </c>
      <c r="N239" s="160" t="s">
        <v>817</v>
      </c>
      <c r="O239" s="159" t="s">
        <v>822</v>
      </c>
      <c r="P239" s="189" t="s">
        <v>823</v>
      </c>
      <c r="Q239" s="130"/>
      <c r="R239" s="130"/>
      <c r="S239" s="130"/>
    </row>
    <row r="240" spans="1:19" s="75" customFormat="1" ht="49.75">
      <c r="A240" s="188" t="s">
        <v>718</v>
      </c>
      <c r="B240" s="147" t="s">
        <v>719</v>
      </c>
      <c r="C240" s="144" t="s">
        <v>728</v>
      </c>
      <c r="D240" s="145" t="s">
        <v>729</v>
      </c>
      <c r="E240" s="97"/>
      <c r="F240" s="94"/>
      <c r="G240" s="94"/>
      <c r="H240" s="94"/>
      <c r="I240" s="94" t="b">
        <f>EXACT(C240,O240)</f>
        <v>1</v>
      </c>
      <c r="J240" s="94" t="b">
        <f>EXACT(D240,P240)</f>
        <v>1</v>
      </c>
      <c r="K240" s="94" t="s">
        <v>1568</v>
      </c>
      <c r="L240" s="94"/>
      <c r="M240" s="160" t="s">
        <v>718</v>
      </c>
      <c r="N240" s="160" t="s">
        <v>719</v>
      </c>
      <c r="O240" s="159" t="s">
        <v>728</v>
      </c>
      <c r="P240" s="189" t="s">
        <v>729</v>
      </c>
      <c r="Q240" s="130"/>
      <c r="R240" s="130"/>
      <c r="S240" s="130"/>
    </row>
    <row r="241" spans="1:19" s="75" customFormat="1" ht="49.75">
      <c r="A241" s="188" t="s">
        <v>718</v>
      </c>
      <c r="B241" s="147" t="s">
        <v>719</v>
      </c>
      <c r="C241" s="144" t="s">
        <v>730</v>
      </c>
      <c r="D241" s="145" t="s">
        <v>731</v>
      </c>
      <c r="E241" s="97"/>
      <c r="F241" s="94"/>
      <c r="G241" s="94"/>
      <c r="H241" s="94"/>
      <c r="I241" s="94" t="b">
        <f>EXACT(C241,O241)</f>
        <v>1</v>
      </c>
      <c r="J241" s="94" t="b">
        <f>EXACT(D241,P241)</f>
        <v>1</v>
      </c>
      <c r="K241" s="94" t="s">
        <v>1568</v>
      </c>
      <c r="L241" s="94"/>
      <c r="M241" s="160" t="s">
        <v>718</v>
      </c>
      <c r="N241" s="160" t="s">
        <v>719</v>
      </c>
      <c r="O241" s="159" t="s">
        <v>730</v>
      </c>
      <c r="P241" s="189" t="s">
        <v>731</v>
      </c>
      <c r="Q241" s="130"/>
      <c r="R241" s="130"/>
      <c r="S241" s="130"/>
    </row>
    <row r="242" spans="1:19" s="75" customFormat="1" ht="62.15">
      <c r="A242" s="188" t="s">
        <v>718</v>
      </c>
      <c r="B242" s="147" t="s">
        <v>719</v>
      </c>
      <c r="C242" s="144" t="s">
        <v>732</v>
      </c>
      <c r="D242" s="145" t="s">
        <v>733</v>
      </c>
      <c r="E242" s="97"/>
      <c r="F242" s="94"/>
      <c r="G242" s="94"/>
      <c r="H242" s="94"/>
      <c r="I242" s="94" t="b">
        <f>EXACT(C242,O242)</f>
        <v>1</v>
      </c>
      <c r="J242" s="94" t="b">
        <f>EXACT(D242,P242)</f>
        <v>1</v>
      </c>
      <c r="K242" s="94" t="s">
        <v>1568</v>
      </c>
      <c r="L242" s="94"/>
      <c r="M242" s="160" t="s">
        <v>718</v>
      </c>
      <c r="N242" s="160" t="s">
        <v>719</v>
      </c>
      <c r="O242" s="159" t="s">
        <v>732</v>
      </c>
      <c r="P242" s="189" t="s">
        <v>733</v>
      </c>
      <c r="Q242" s="130"/>
      <c r="R242" s="130"/>
      <c r="S242" s="130"/>
    </row>
    <row r="243" spans="1:19" s="75" customFormat="1" ht="49.75">
      <c r="A243" s="188" t="s">
        <v>718</v>
      </c>
      <c r="B243" s="147" t="s">
        <v>719</v>
      </c>
      <c r="C243" s="144" t="s">
        <v>734</v>
      </c>
      <c r="D243" s="145" t="s">
        <v>735</v>
      </c>
      <c r="E243" s="97"/>
      <c r="F243" s="94"/>
      <c r="G243" s="94"/>
      <c r="H243" s="94"/>
      <c r="I243" s="94" t="b">
        <f>EXACT(C243,O243)</f>
        <v>1</v>
      </c>
      <c r="J243" s="94" t="b">
        <f>EXACT(D243,P243)</f>
        <v>1</v>
      </c>
      <c r="K243" s="94" t="s">
        <v>1568</v>
      </c>
      <c r="L243" s="94"/>
      <c r="M243" s="160" t="s">
        <v>718</v>
      </c>
      <c r="N243" s="160" t="s">
        <v>719</v>
      </c>
      <c r="O243" s="159" t="s">
        <v>734</v>
      </c>
      <c r="P243" s="189" t="s">
        <v>735</v>
      </c>
      <c r="Q243" s="130"/>
      <c r="R243" s="130"/>
      <c r="S243" s="130"/>
    </row>
    <row r="244" spans="1:19" s="75" customFormat="1" ht="24.9">
      <c r="A244" s="188" t="s">
        <v>718</v>
      </c>
      <c r="B244" s="147" t="s">
        <v>719</v>
      </c>
      <c r="C244" s="144" t="s">
        <v>736</v>
      </c>
      <c r="D244" s="145" t="s">
        <v>737</v>
      </c>
      <c r="E244" s="97"/>
      <c r="F244" s="94"/>
      <c r="G244" s="94"/>
      <c r="H244" s="94"/>
      <c r="I244" s="94" t="b">
        <f>EXACT(C244,O244)</f>
        <v>1</v>
      </c>
      <c r="J244" s="94" t="b">
        <f>EXACT(D244,P244)</f>
        <v>1</v>
      </c>
      <c r="K244" s="94" t="s">
        <v>1568</v>
      </c>
      <c r="L244" s="94"/>
      <c r="M244" s="160" t="s">
        <v>718</v>
      </c>
      <c r="N244" s="160" t="s">
        <v>719</v>
      </c>
      <c r="O244" s="159" t="s">
        <v>736</v>
      </c>
      <c r="P244" s="189" t="s">
        <v>737</v>
      </c>
      <c r="Q244" s="130"/>
      <c r="R244" s="130"/>
      <c r="S244" s="130"/>
    </row>
    <row r="245" spans="1:19" s="75" customFormat="1" ht="49.75">
      <c r="A245" s="188" t="s">
        <v>718</v>
      </c>
      <c r="B245" s="147" t="s">
        <v>719</v>
      </c>
      <c r="C245" s="144" t="s">
        <v>738</v>
      </c>
      <c r="D245" s="145" t="s">
        <v>739</v>
      </c>
      <c r="E245" s="97"/>
      <c r="F245" s="94"/>
      <c r="G245" s="94"/>
      <c r="H245" s="94"/>
      <c r="I245" s="94" t="b">
        <f>EXACT(C245,O245)</f>
        <v>1</v>
      </c>
      <c r="J245" s="94" t="b">
        <f>EXACT(D245,P245)</f>
        <v>1</v>
      </c>
      <c r="K245" s="94" t="s">
        <v>1568</v>
      </c>
      <c r="L245" s="94"/>
      <c r="M245" s="160" t="s">
        <v>718</v>
      </c>
      <c r="N245" s="160" t="s">
        <v>719</v>
      </c>
      <c r="O245" s="159" t="s">
        <v>738</v>
      </c>
      <c r="P245" s="189" t="s">
        <v>739</v>
      </c>
      <c r="Q245" s="130"/>
      <c r="R245" s="130"/>
      <c r="S245" s="130"/>
    </row>
    <row r="246" spans="1:19" s="75" customFormat="1" ht="37.299999999999997">
      <c r="A246" s="188" t="s">
        <v>718</v>
      </c>
      <c r="B246" s="147" t="s">
        <v>787</v>
      </c>
      <c r="C246" s="144" t="s">
        <v>788</v>
      </c>
      <c r="D246" s="145" t="s">
        <v>789</v>
      </c>
      <c r="E246" s="97"/>
      <c r="F246" s="94"/>
      <c r="G246" s="94"/>
      <c r="H246" s="94"/>
      <c r="I246" s="94" t="b">
        <f>EXACT(C246,O246)</f>
        <v>1</v>
      </c>
      <c r="J246" s="94" t="b">
        <f>EXACT(D246,P246)</f>
        <v>1</v>
      </c>
      <c r="K246" s="94" t="s">
        <v>1568</v>
      </c>
      <c r="L246" s="94"/>
      <c r="M246" s="160" t="s">
        <v>718</v>
      </c>
      <c r="N246" s="160" t="s">
        <v>787</v>
      </c>
      <c r="O246" s="159" t="s">
        <v>788</v>
      </c>
      <c r="P246" s="189" t="s">
        <v>789</v>
      </c>
      <c r="Q246" s="130"/>
      <c r="R246" s="130"/>
      <c r="S246" s="130"/>
    </row>
    <row r="247" spans="1:19" s="75" customFormat="1" ht="14.6">
      <c r="A247" s="188" t="s">
        <v>718</v>
      </c>
      <c r="B247" s="147" t="s">
        <v>787</v>
      </c>
      <c r="C247" s="144" t="s">
        <v>790</v>
      </c>
      <c r="D247" s="145" t="s">
        <v>791</v>
      </c>
      <c r="E247" s="97"/>
      <c r="F247" s="94"/>
      <c r="G247" s="94"/>
      <c r="H247" s="94"/>
      <c r="I247" s="94" t="b">
        <f>EXACT(C247,O247)</f>
        <v>1</v>
      </c>
      <c r="J247" s="94" t="b">
        <f>EXACT(D247,P247)</f>
        <v>1</v>
      </c>
      <c r="K247" s="94" t="s">
        <v>1568</v>
      </c>
      <c r="L247" s="94"/>
      <c r="M247" s="160" t="s">
        <v>718</v>
      </c>
      <c r="N247" s="160" t="s">
        <v>787</v>
      </c>
      <c r="O247" s="159" t="s">
        <v>790</v>
      </c>
      <c r="P247" s="189" t="s">
        <v>791</v>
      </c>
      <c r="Q247" s="130"/>
      <c r="R247" s="130"/>
      <c r="S247" s="130"/>
    </row>
    <row r="248" spans="1:19" s="75" customFormat="1" ht="49.75">
      <c r="A248" s="188" t="s">
        <v>718</v>
      </c>
      <c r="B248" s="147" t="s">
        <v>770</v>
      </c>
      <c r="C248" s="144" t="s">
        <v>771</v>
      </c>
      <c r="D248" s="145" t="s">
        <v>772</v>
      </c>
      <c r="E248" s="97"/>
      <c r="F248" s="94"/>
      <c r="G248" s="94"/>
      <c r="H248" s="94"/>
      <c r="I248" s="94" t="b">
        <f>EXACT(C248,O248)</f>
        <v>1</v>
      </c>
      <c r="J248" s="94" t="b">
        <f>EXACT(D248,P248)</f>
        <v>1</v>
      </c>
      <c r="K248" s="94" t="s">
        <v>1568</v>
      </c>
      <c r="L248" s="94"/>
      <c r="M248" s="160" t="s">
        <v>718</v>
      </c>
      <c r="N248" s="160" t="s">
        <v>770</v>
      </c>
      <c r="O248" s="159" t="s">
        <v>771</v>
      </c>
      <c r="P248" s="189" t="s">
        <v>772</v>
      </c>
      <c r="Q248" s="130"/>
      <c r="R248" s="130"/>
      <c r="S248" s="130"/>
    </row>
    <row r="249" spans="1:19" s="75" customFormat="1" ht="49.75">
      <c r="A249" s="188" t="s">
        <v>718</v>
      </c>
      <c r="B249" s="147" t="s">
        <v>817</v>
      </c>
      <c r="C249" s="144" t="s">
        <v>824</v>
      </c>
      <c r="D249" s="145" t="s">
        <v>825</v>
      </c>
      <c r="E249" s="97"/>
      <c r="F249" s="94"/>
      <c r="G249" s="94"/>
      <c r="H249" s="94"/>
      <c r="I249" s="94" t="b">
        <f>EXACT(C249,O249)</f>
        <v>1</v>
      </c>
      <c r="J249" s="94" t="b">
        <f>EXACT(D249,P249)</f>
        <v>1</v>
      </c>
      <c r="K249" s="94" t="s">
        <v>1568</v>
      </c>
      <c r="L249" s="94"/>
      <c r="M249" s="160" t="s">
        <v>718</v>
      </c>
      <c r="N249" s="160" t="s">
        <v>817</v>
      </c>
      <c r="O249" s="159" t="s">
        <v>824</v>
      </c>
      <c r="P249" s="189" t="s">
        <v>825</v>
      </c>
      <c r="Q249" s="130"/>
      <c r="R249" s="130"/>
      <c r="S249" s="130"/>
    </row>
    <row r="250" spans="1:19" s="75" customFormat="1" ht="49.75">
      <c r="A250" s="188" t="s">
        <v>718</v>
      </c>
      <c r="B250" s="147" t="s">
        <v>817</v>
      </c>
      <c r="C250" s="144" t="s">
        <v>826</v>
      </c>
      <c r="D250" s="145" t="s">
        <v>827</v>
      </c>
      <c r="E250" s="97"/>
      <c r="F250" s="94"/>
      <c r="G250" s="94"/>
      <c r="H250" s="94"/>
      <c r="I250" s="94" t="b">
        <f>EXACT(C250,O250)</f>
        <v>1</v>
      </c>
      <c r="J250" s="94" t="b">
        <f>EXACT(D250,P250)</f>
        <v>1</v>
      </c>
      <c r="K250" s="94" t="s">
        <v>1568</v>
      </c>
      <c r="L250" s="94"/>
      <c r="M250" s="160" t="s">
        <v>718</v>
      </c>
      <c r="N250" s="160" t="s">
        <v>817</v>
      </c>
      <c r="O250" s="159" t="s">
        <v>826</v>
      </c>
      <c r="P250" s="189" t="s">
        <v>827</v>
      </c>
      <c r="Q250" s="130"/>
      <c r="R250" s="130"/>
      <c r="S250" s="130"/>
    </row>
    <row r="251" spans="1:19" s="75" customFormat="1" ht="99.45">
      <c r="A251" s="188" t="s">
        <v>718</v>
      </c>
      <c r="B251" s="147" t="s">
        <v>719</v>
      </c>
      <c r="C251" s="144" t="s">
        <v>740</v>
      </c>
      <c r="D251" s="145" t="s">
        <v>741</v>
      </c>
      <c r="E251" s="97"/>
      <c r="F251" s="94"/>
      <c r="G251" s="94"/>
      <c r="H251" s="94"/>
      <c r="I251" s="94" t="b">
        <f>EXACT(C251,O251)</f>
        <v>1</v>
      </c>
      <c r="J251" s="94" t="b">
        <f>EXACT(D251,P251)</f>
        <v>1</v>
      </c>
      <c r="K251" s="94" t="s">
        <v>1568</v>
      </c>
      <c r="L251" s="94"/>
      <c r="M251" s="160" t="s">
        <v>718</v>
      </c>
      <c r="N251" s="160" t="s">
        <v>719</v>
      </c>
      <c r="O251" s="159" t="s">
        <v>740</v>
      </c>
      <c r="P251" s="189" t="s">
        <v>741</v>
      </c>
      <c r="Q251" s="130"/>
      <c r="R251" s="130"/>
      <c r="S251" s="130"/>
    </row>
    <row r="252" spans="1:19" s="75" customFormat="1" ht="37.299999999999997">
      <c r="A252" s="188" t="s">
        <v>718</v>
      </c>
      <c r="B252" s="147" t="s">
        <v>787</v>
      </c>
      <c r="C252" s="144" t="s">
        <v>792</v>
      </c>
      <c r="D252" s="145" t="s">
        <v>793</v>
      </c>
      <c r="E252" s="97"/>
      <c r="F252" s="94"/>
      <c r="G252" s="94"/>
      <c r="H252" s="94"/>
      <c r="I252" s="94" t="b">
        <f>EXACT(C252,O252)</f>
        <v>1</v>
      </c>
      <c r="J252" s="94" t="b">
        <f>EXACT(D252,P252)</f>
        <v>1</v>
      </c>
      <c r="K252" s="94" t="s">
        <v>1568</v>
      </c>
      <c r="L252" s="94"/>
      <c r="M252" s="160" t="s">
        <v>718</v>
      </c>
      <c r="N252" s="160" t="s">
        <v>787</v>
      </c>
      <c r="O252" s="159" t="s">
        <v>792</v>
      </c>
      <c r="P252" s="189" t="s">
        <v>793</v>
      </c>
      <c r="Q252" s="130"/>
      <c r="R252" s="130"/>
      <c r="S252" s="130"/>
    </row>
    <row r="253" spans="1:19" s="75" customFormat="1" ht="24.9">
      <c r="A253" s="188" t="s">
        <v>718</v>
      </c>
      <c r="B253" s="147" t="s">
        <v>817</v>
      </c>
      <c r="C253" s="144" t="s">
        <v>828</v>
      </c>
      <c r="D253" s="145" t="s">
        <v>829</v>
      </c>
      <c r="E253" s="97"/>
      <c r="F253" s="94"/>
      <c r="G253" s="94"/>
      <c r="H253" s="94"/>
      <c r="I253" s="94" t="b">
        <f>EXACT(C253,O253)</f>
        <v>1</v>
      </c>
      <c r="J253" s="94" t="b">
        <f>EXACT(D253,P253)</f>
        <v>1</v>
      </c>
      <c r="K253" s="94" t="s">
        <v>1568</v>
      </c>
      <c r="L253" s="94"/>
      <c r="M253" s="160" t="s">
        <v>718</v>
      </c>
      <c r="N253" s="160" t="s">
        <v>817</v>
      </c>
      <c r="O253" s="159" t="s">
        <v>828</v>
      </c>
      <c r="P253" s="189" t="s">
        <v>829</v>
      </c>
      <c r="Q253" s="130"/>
      <c r="R253" s="130"/>
      <c r="S253" s="130"/>
    </row>
    <row r="254" spans="1:19" s="75" customFormat="1" ht="74.599999999999994">
      <c r="A254" s="188" t="s">
        <v>718</v>
      </c>
      <c r="B254" s="147" t="s">
        <v>817</v>
      </c>
      <c r="C254" s="144" t="s">
        <v>830</v>
      </c>
      <c r="D254" s="145" t="s">
        <v>831</v>
      </c>
      <c r="E254" s="97"/>
      <c r="F254" s="94"/>
      <c r="G254" s="94"/>
      <c r="H254" s="94"/>
      <c r="I254" s="94" t="b">
        <f>EXACT(C254,O254)</f>
        <v>1</v>
      </c>
      <c r="J254" s="94" t="b">
        <f>EXACT(D254,P254)</f>
        <v>1</v>
      </c>
      <c r="K254" s="94" t="s">
        <v>1568</v>
      </c>
      <c r="L254" s="94"/>
      <c r="M254" s="160" t="s">
        <v>718</v>
      </c>
      <c r="N254" s="160" t="s">
        <v>817</v>
      </c>
      <c r="O254" s="159" t="s">
        <v>830</v>
      </c>
      <c r="P254" s="189" t="s">
        <v>831</v>
      </c>
      <c r="Q254" s="130"/>
      <c r="R254" s="130"/>
      <c r="S254" s="130"/>
    </row>
    <row r="255" spans="1:19" s="75" customFormat="1" ht="24.9">
      <c r="A255" s="188" t="s">
        <v>718</v>
      </c>
      <c r="B255" s="147" t="s">
        <v>787</v>
      </c>
      <c r="C255" s="144" t="s">
        <v>794</v>
      </c>
      <c r="D255" s="145" t="s">
        <v>795</v>
      </c>
      <c r="E255" s="97"/>
      <c r="F255" s="94"/>
      <c r="G255" s="94"/>
      <c r="H255" s="94"/>
      <c r="I255" s="94" t="b">
        <f>EXACT(C255,O255)</f>
        <v>1</v>
      </c>
      <c r="J255" s="94" t="b">
        <f>EXACT(D255,P255)</f>
        <v>1</v>
      </c>
      <c r="K255" s="94" t="s">
        <v>1568</v>
      </c>
      <c r="L255" s="94"/>
      <c r="M255" s="160" t="s">
        <v>718</v>
      </c>
      <c r="N255" s="160" t="s">
        <v>787</v>
      </c>
      <c r="O255" s="159" t="s">
        <v>794</v>
      </c>
      <c r="P255" s="189" t="s">
        <v>795</v>
      </c>
      <c r="Q255" s="130"/>
      <c r="R255" s="130"/>
      <c r="S255" s="130"/>
    </row>
    <row r="256" spans="1:19" s="75" customFormat="1" ht="49.75">
      <c r="A256" s="188" t="s">
        <v>718</v>
      </c>
      <c r="B256" s="147" t="s">
        <v>719</v>
      </c>
      <c r="C256" s="144" t="s">
        <v>742</v>
      </c>
      <c r="D256" s="145" t="s">
        <v>743</v>
      </c>
      <c r="E256" s="97"/>
      <c r="F256" s="94"/>
      <c r="G256" s="94"/>
      <c r="H256" s="94"/>
      <c r="I256" s="94" t="b">
        <f>EXACT(C256,O256)</f>
        <v>1</v>
      </c>
      <c r="J256" s="94" t="b">
        <f>EXACT(D256,P256)</f>
        <v>1</v>
      </c>
      <c r="K256" s="94" t="s">
        <v>1568</v>
      </c>
      <c r="L256" s="94"/>
      <c r="M256" s="160" t="s">
        <v>718</v>
      </c>
      <c r="N256" s="160" t="s">
        <v>719</v>
      </c>
      <c r="O256" s="159" t="s">
        <v>742</v>
      </c>
      <c r="P256" s="189" t="s">
        <v>743</v>
      </c>
      <c r="Q256" s="130"/>
      <c r="R256" s="130"/>
      <c r="S256" s="130"/>
    </row>
    <row r="257" spans="1:19" s="75" customFormat="1" ht="62.15">
      <c r="A257" s="188" t="s">
        <v>718</v>
      </c>
      <c r="B257" s="147" t="s">
        <v>719</v>
      </c>
      <c r="C257" s="144" t="s">
        <v>744</v>
      </c>
      <c r="D257" s="145" t="s">
        <v>745</v>
      </c>
      <c r="E257" s="97"/>
      <c r="F257" s="94"/>
      <c r="G257" s="94"/>
      <c r="H257" s="94"/>
      <c r="I257" s="94" t="b">
        <f>EXACT(C257,O257)</f>
        <v>1</v>
      </c>
      <c r="J257" s="94" t="b">
        <f>EXACT(D257,P257)</f>
        <v>1</v>
      </c>
      <c r="K257" s="94" t="s">
        <v>1568</v>
      </c>
      <c r="L257" s="94"/>
      <c r="M257" s="160" t="s">
        <v>718</v>
      </c>
      <c r="N257" s="160" t="s">
        <v>719</v>
      </c>
      <c r="O257" s="159" t="s">
        <v>744</v>
      </c>
      <c r="P257" s="189" t="s">
        <v>745</v>
      </c>
      <c r="Q257" s="130"/>
      <c r="R257" s="130"/>
      <c r="S257" s="130"/>
    </row>
    <row r="258" spans="1:19" s="75" customFormat="1" ht="62.15">
      <c r="A258" s="188" t="s">
        <v>718</v>
      </c>
      <c r="B258" s="147" t="s">
        <v>719</v>
      </c>
      <c r="C258" s="144" t="s">
        <v>746</v>
      </c>
      <c r="D258" s="145" t="s">
        <v>747</v>
      </c>
      <c r="E258" s="97"/>
      <c r="F258" s="94"/>
      <c r="G258" s="94"/>
      <c r="H258" s="94"/>
      <c r="I258" s="94" t="b">
        <f>EXACT(C258,O258)</f>
        <v>1</v>
      </c>
      <c r="J258" s="94" t="b">
        <f>EXACT(D258,P258)</f>
        <v>1</v>
      </c>
      <c r="K258" s="94" t="s">
        <v>1568</v>
      </c>
      <c r="L258" s="94"/>
      <c r="M258" s="160" t="s">
        <v>718</v>
      </c>
      <c r="N258" s="160" t="s">
        <v>719</v>
      </c>
      <c r="O258" s="159" t="s">
        <v>746</v>
      </c>
      <c r="P258" s="189" t="s">
        <v>747</v>
      </c>
      <c r="Q258" s="130"/>
      <c r="R258" s="130"/>
      <c r="S258" s="130"/>
    </row>
    <row r="259" spans="1:19" s="75" customFormat="1" ht="62.15">
      <c r="A259" s="188" t="s">
        <v>718</v>
      </c>
      <c r="B259" s="147" t="s">
        <v>719</v>
      </c>
      <c r="C259" s="144" t="s">
        <v>748</v>
      </c>
      <c r="D259" s="145" t="s">
        <v>749</v>
      </c>
      <c r="E259" s="97"/>
      <c r="F259" s="94"/>
      <c r="G259" s="94"/>
      <c r="H259" s="94"/>
      <c r="I259" s="94" t="b">
        <f>EXACT(C259,O259)</f>
        <v>1</v>
      </c>
      <c r="J259" s="94" t="b">
        <f>EXACT(D259,P259)</f>
        <v>1</v>
      </c>
      <c r="K259" s="94" t="s">
        <v>1568</v>
      </c>
      <c r="L259" s="94"/>
      <c r="M259" s="160" t="s">
        <v>718</v>
      </c>
      <c r="N259" s="160" t="s">
        <v>719</v>
      </c>
      <c r="O259" s="159" t="s">
        <v>748</v>
      </c>
      <c r="P259" s="189" t="s">
        <v>749</v>
      </c>
      <c r="Q259" s="130"/>
      <c r="R259" s="130"/>
      <c r="S259" s="130"/>
    </row>
    <row r="260" spans="1:19" s="75" customFormat="1" ht="62.15">
      <c r="A260" s="188" t="s">
        <v>718</v>
      </c>
      <c r="B260" s="147" t="s">
        <v>719</v>
      </c>
      <c r="C260" s="144" t="s">
        <v>750</v>
      </c>
      <c r="D260" s="145" t="s">
        <v>751</v>
      </c>
      <c r="E260" s="97"/>
      <c r="F260" s="94"/>
      <c r="G260" s="94"/>
      <c r="H260" s="94"/>
      <c r="I260" s="94" t="b">
        <f>EXACT(C260,O260)</f>
        <v>1</v>
      </c>
      <c r="J260" s="94" t="b">
        <f>EXACT(D260,P260)</f>
        <v>1</v>
      </c>
      <c r="K260" s="94" t="s">
        <v>1568</v>
      </c>
      <c r="L260" s="94"/>
      <c r="M260" s="160" t="s">
        <v>718</v>
      </c>
      <c r="N260" s="160" t="s">
        <v>719</v>
      </c>
      <c r="O260" s="159" t="s">
        <v>750</v>
      </c>
      <c r="P260" s="189" t="s">
        <v>751</v>
      </c>
      <c r="Q260" s="130"/>
      <c r="R260" s="130"/>
      <c r="S260" s="130"/>
    </row>
    <row r="261" spans="1:19" s="75" customFormat="1" ht="24.9">
      <c r="A261" s="188" t="s">
        <v>718</v>
      </c>
      <c r="B261" s="147" t="s">
        <v>719</v>
      </c>
      <c r="C261" s="144" t="s">
        <v>752</v>
      </c>
      <c r="D261" s="145" t="s">
        <v>753</v>
      </c>
      <c r="E261" s="97"/>
      <c r="F261" s="94"/>
      <c r="G261" s="94"/>
      <c r="H261" s="94"/>
      <c r="I261" s="94" t="b">
        <f>EXACT(C261,O261)</f>
        <v>1</v>
      </c>
      <c r="J261" s="94" t="b">
        <f>EXACT(D261,P261)</f>
        <v>1</v>
      </c>
      <c r="K261" s="94" t="s">
        <v>1568</v>
      </c>
      <c r="L261" s="94"/>
      <c r="M261" s="160" t="s">
        <v>718</v>
      </c>
      <c r="N261" s="160" t="s">
        <v>719</v>
      </c>
      <c r="O261" s="159" t="s">
        <v>752</v>
      </c>
      <c r="P261" s="189" t="s">
        <v>753</v>
      </c>
      <c r="Q261" s="130"/>
      <c r="R261" s="130"/>
      <c r="S261" s="130"/>
    </row>
    <row r="262" spans="1:19" s="75" customFormat="1" ht="24.9">
      <c r="A262" s="188" t="s">
        <v>718</v>
      </c>
      <c r="B262" s="147" t="s">
        <v>719</v>
      </c>
      <c r="C262" s="144" t="s">
        <v>754</v>
      </c>
      <c r="D262" s="145" t="s">
        <v>755</v>
      </c>
      <c r="E262" s="97"/>
      <c r="F262" s="94"/>
      <c r="G262" s="94"/>
      <c r="H262" s="94"/>
      <c r="I262" s="94" t="b">
        <f>EXACT(C262,O262)</f>
        <v>1</v>
      </c>
      <c r="J262" s="94" t="b">
        <f>EXACT(D262,P262)</f>
        <v>1</v>
      </c>
      <c r="K262" s="94" t="s">
        <v>1568</v>
      </c>
      <c r="L262" s="94"/>
      <c r="M262" s="160" t="s">
        <v>718</v>
      </c>
      <c r="N262" s="160" t="s">
        <v>719</v>
      </c>
      <c r="O262" s="159" t="s">
        <v>754</v>
      </c>
      <c r="P262" s="189" t="s">
        <v>755</v>
      </c>
      <c r="Q262" s="133"/>
      <c r="R262" s="133"/>
      <c r="S262" s="133"/>
    </row>
    <row r="263" spans="1:19" s="75" customFormat="1" ht="24.9">
      <c r="A263" s="188" t="s">
        <v>718</v>
      </c>
      <c r="B263" s="147" t="s">
        <v>719</v>
      </c>
      <c r="C263" s="144" t="s">
        <v>756</v>
      </c>
      <c r="D263" s="145" t="s">
        <v>757</v>
      </c>
      <c r="E263" s="97"/>
      <c r="F263" s="94"/>
      <c r="G263" s="94"/>
      <c r="H263" s="94"/>
      <c r="I263" s="94" t="b">
        <f>EXACT(C263,O263)</f>
        <v>1</v>
      </c>
      <c r="J263" s="94" t="b">
        <f>EXACT(D263,P263)</f>
        <v>1</v>
      </c>
      <c r="K263" s="94" t="s">
        <v>1568</v>
      </c>
      <c r="L263" s="94"/>
      <c r="M263" s="160" t="s">
        <v>718</v>
      </c>
      <c r="N263" s="160" t="s">
        <v>719</v>
      </c>
      <c r="O263" s="159" t="s">
        <v>756</v>
      </c>
      <c r="P263" s="189" t="s">
        <v>757</v>
      </c>
      <c r="Q263" s="133"/>
      <c r="R263" s="133"/>
      <c r="S263" s="133"/>
    </row>
    <row r="264" spans="1:19" s="75" customFormat="1" ht="24.9">
      <c r="A264" s="188" t="s">
        <v>718</v>
      </c>
      <c r="B264" s="147" t="s">
        <v>719</v>
      </c>
      <c r="C264" s="144" t="s">
        <v>758</v>
      </c>
      <c r="D264" s="145" t="s">
        <v>759</v>
      </c>
      <c r="E264" s="97"/>
      <c r="F264" s="94"/>
      <c r="G264" s="94"/>
      <c r="H264" s="94"/>
      <c r="I264" s="94" t="b">
        <f>EXACT(C264,O264)</f>
        <v>1</v>
      </c>
      <c r="J264" s="94" t="b">
        <f>EXACT(D264,P264)</f>
        <v>1</v>
      </c>
      <c r="K264" s="94" t="s">
        <v>1568</v>
      </c>
      <c r="L264" s="94"/>
      <c r="M264" s="160" t="s">
        <v>718</v>
      </c>
      <c r="N264" s="160" t="s">
        <v>719</v>
      </c>
      <c r="O264" s="159" t="s">
        <v>758</v>
      </c>
      <c r="P264" s="189" t="s">
        <v>759</v>
      </c>
      <c r="Q264" s="133"/>
      <c r="R264" s="133"/>
      <c r="S264" s="133"/>
    </row>
    <row r="265" spans="1:19" s="75" customFormat="1" ht="24.9">
      <c r="A265" s="188" t="s">
        <v>718</v>
      </c>
      <c r="B265" s="147" t="s">
        <v>719</v>
      </c>
      <c r="C265" s="144" t="s">
        <v>760</v>
      </c>
      <c r="D265" s="145" t="s">
        <v>761</v>
      </c>
      <c r="E265" s="97"/>
      <c r="F265" s="94"/>
      <c r="G265" s="94"/>
      <c r="H265" s="94"/>
      <c r="I265" s="94" t="b">
        <f>EXACT(C265,O265)</f>
        <v>1</v>
      </c>
      <c r="J265" s="94" t="b">
        <f>EXACT(D265,P265)</f>
        <v>1</v>
      </c>
      <c r="K265" s="94" t="s">
        <v>1568</v>
      </c>
      <c r="L265" s="94"/>
      <c r="M265" s="160" t="s">
        <v>718</v>
      </c>
      <c r="N265" s="160" t="s">
        <v>719</v>
      </c>
      <c r="O265" s="159" t="s">
        <v>760</v>
      </c>
      <c r="P265" s="189" t="s">
        <v>761</v>
      </c>
      <c r="Q265" s="133"/>
      <c r="R265" s="133"/>
      <c r="S265" s="133"/>
    </row>
    <row r="266" spans="1:19" s="75" customFormat="1" ht="14.6">
      <c r="A266" s="188" t="s">
        <v>718</v>
      </c>
      <c r="B266" s="147" t="s">
        <v>787</v>
      </c>
      <c r="C266" s="144" t="s">
        <v>796</v>
      </c>
      <c r="D266" s="145" t="s">
        <v>797</v>
      </c>
      <c r="E266" s="97"/>
      <c r="F266" s="94"/>
      <c r="G266" s="94"/>
      <c r="H266" s="94"/>
      <c r="I266" s="94" t="b">
        <f>EXACT(C266,O266)</f>
        <v>1</v>
      </c>
      <c r="J266" s="94" t="b">
        <f>EXACT(D266,P266)</f>
        <v>1</v>
      </c>
      <c r="K266" s="94" t="s">
        <v>1568</v>
      </c>
      <c r="L266" s="94"/>
      <c r="M266" s="160" t="s">
        <v>718</v>
      </c>
      <c r="N266" s="160" t="s">
        <v>787</v>
      </c>
      <c r="O266" s="159" t="s">
        <v>796</v>
      </c>
      <c r="P266" s="189" t="s">
        <v>797</v>
      </c>
      <c r="Q266" s="133"/>
      <c r="R266" s="133"/>
      <c r="S266" s="133"/>
    </row>
    <row r="267" spans="1:19" s="75" customFormat="1" ht="24.9">
      <c r="A267" s="188" t="s">
        <v>718</v>
      </c>
      <c r="B267" s="147" t="s">
        <v>817</v>
      </c>
      <c r="C267" s="144" t="s">
        <v>832</v>
      </c>
      <c r="D267" s="145" t="s">
        <v>833</v>
      </c>
      <c r="E267" s="97"/>
      <c r="F267" s="94"/>
      <c r="G267" s="94"/>
      <c r="H267" s="94"/>
      <c r="I267" s="94" t="b">
        <f>EXACT(C267,O267)</f>
        <v>1</v>
      </c>
      <c r="J267" s="94" t="b">
        <f>EXACT(D267,P267)</f>
        <v>1</v>
      </c>
      <c r="K267" s="94" t="s">
        <v>1568</v>
      </c>
      <c r="L267" s="94"/>
      <c r="M267" s="160" t="s">
        <v>718</v>
      </c>
      <c r="N267" s="160" t="s">
        <v>817</v>
      </c>
      <c r="O267" s="159" t="s">
        <v>832</v>
      </c>
      <c r="P267" s="189" t="s">
        <v>833</v>
      </c>
      <c r="Q267" s="133"/>
      <c r="R267" s="133"/>
      <c r="S267" s="133"/>
    </row>
    <row r="268" spans="1:19" s="75" customFormat="1" ht="24.9">
      <c r="A268" s="188" t="s">
        <v>718</v>
      </c>
      <c r="B268" s="147" t="s">
        <v>817</v>
      </c>
      <c r="C268" s="144" t="s">
        <v>834</v>
      </c>
      <c r="D268" s="145" t="s">
        <v>835</v>
      </c>
      <c r="E268" s="97"/>
      <c r="F268" s="94"/>
      <c r="G268" s="94"/>
      <c r="H268" s="94"/>
      <c r="I268" s="94" t="b">
        <f>EXACT(C268,O268)</f>
        <v>1</v>
      </c>
      <c r="J268" s="94" t="b">
        <f>EXACT(D268,P268)</f>
        <v>1</v>
      </c>
      <c r="K268" s="94" t="s">
        <v>1568</v>
      </c>
      <c r="L268" s="94"/>
      <c r="M268" s="160" t="s">
        <v>718</v>
      </c>
      <c r="N268" s="160" t="s">
        <v>817</v>
      </c>
      <c r="O268" s="159" t="s">
        <v>834</v>
      </c>
      <c r="P268" s="189" t="s">
        <v>835</v>
      </c>
      <c r="Q268" s="133"/>
      <c r="R268" s="133"/>
      <c r="S268" s="133"/>
    </row>
    <row r="269" spans="1:19" s="75" customFormat="1" ht="24.9">
      <c r="A269" s="188" t="s">
        <v>718</v>
      </c>
      <c r="B269" s="147" t="s">
        <v>817</v>
      </c>
      <c r="C269" s="144" t="s">
        <v>836</v>
      </c>
      <c r="D269" s="145" t="s">
        <v>837</v>
      </c>
      <c r="E269" s="97"/>
      <c r="F269" s="94"/>
      <c r="G269" s="94"/>
      <c r="H269" s="94"/>
      <c r="I269" s="94" t="b">
        <f>EXACT(C269,O269)</f>
        <v>1</v>
      </c>
      <c r="J269" s="94" t="b">
        <f>EXACT(D269,P269)</f>
        <v>1</v>
      </c>
      <c r="K269" s="94" t="s">
        <v>1568</v>
      </c>
      <c r="L269" s="94"/>
      <c r="M269" s="160" t="s">
        <v>718</v>
      </c>
      <c r="N269" s="160" t="s">
        <v>817</v>
      </c>
      <c r="O269" s="159" t="s">
        <v>836</v>
      </c>
      <c r="P269" s="189" t="s">
        <v>837</v>
      </c>
      <c r="Q269" s="133"/>
      <c r="R269" s="133"/>
      <c r="S269" s="133"/>
    </row>
    <row r="270" spans="1:19" s="75" customFormat="1" ht="24.9">
      <c r="A270" s="188" t="s">
        <v>718</v>
      </c>
      <c r="B270" s="147" t="s">
        <v>817</v>
      </c>
      <c r="C270" s="144" t="s">
        <v>838</v>
      </c>
      <c r="D270" s="145" t="s">
        <v>839</v>
      </c>
      <c r="E270" s="97"/>
      <c r="F270" s="94"/>
      <c r="G270" s="94"/>
      <c r="H270" s="94"/>
      <c r="I270" s="94" t="b">
        <f>EXACT(C270,O270)</f>
        <v>1</v>
      </c>
      <c r="J270" s="94" t="b">
        <f>EXACT(D270,P270)</f>
        <v>1</v>
      </c>
      <c r="K270" s="94" t="s">
        <v>1568</v>
      </c>
      <c r="L270" s="94"/>
      <c r="M270" s="160" t="s">
        <v>718</v>
      </c>
      <c r="N270" s="160" t="s">
        <v>817</v>
      </c>
      <c r="O270" s="159" t="s">
        <v>838</v>
      </c>
      <c r="P270" s="189" t="s">
        <v>839</v>
      </c>
      <c r="Q270" s="133"/>
      <c r="R270" s="133"/>
      <c r="S270" s="133"/>
    </row>
    <row r="271" spans="1:19" s="75" customFormat="1" ht="24.9">
      <c r="A271" s="188" t="s">
        <v>718</v>
      </c>
      <c r="B271" s="147" t="s">
        <v>817</v>
      </c>
      <c r="C271" s="144" t="s">
        <v>840</v>
      </c>
      <c r="D271" s="145" t="s">
        <v>841</v>
      </c>
      <c r="E271" s="97"/>
      <c r="F271" s="94"/>
      <c r="G271" s="94"/>
      <c r="H271" s="94"/>
      <c r="I271" s="94" t="b">
        <f>EXACT(C271,O271)</f>
        <v>1</v>
      </c>
      <c r="J271" s="94" t="b">
        <f>EXACT(D271,P271)</f>
        <v>1</v>
      </c>
      <c r="K271" s="94" t="s">
        <v>1568</v>
      </c>
      <c r="L271" s="94"/>
      <c r="M271" s="160" t="s">
        <v>718</v>
      </c>
      <c r="N271" s="160" t="s">
        <v>817</v>
      </c>
      <c r="O271" s="159" t="s">
        <v>840</v>
      </c>
      <c r="P271" s="189" t="s">
        <v>841</v>
      </c>
      <c r="Q271" s="133"/>
      <c r="R271" s="133"/>
      <c r="S271" s="133"/>
    </row>
    <row r="272" spans="1:19" s="75" customFormat="1" ht="87">
      <c r="A272" s="188" t="s">
        <v>718</v>
      </c>
      <c r="B272" s="147" t="s">
        <v>798</v>
      </c>
      <c r="C272" s="144" t="s">
        <v>799</v>
      </c>
      <c r="D272" s="145" t="s">
        <v>800</v>
      </c>
      <c r="E272" s="97"/>
      <c r="F272" s="94"/>
      <c r="G272" s="94"/>
      <c r="H272" s="94"/>
      <c r="I272" s="94" t="b">
        <f>EXACT(C272,O272)</f>
        <v>1</v>
      </c>
      <c r="J272" s="94" t="b">
        <f>EXACT(D272,P272)</f>
        <v>1</v>
      </c>
      <c r="K272" s="94" t="s">
        <v>1568</v>
      </c>
      <c r="L272" s="94"/>
      <c r="M272" s="160" t="s">
        <v>718</v>
      </c>
      <c r="N272" s="160" t="s">
        <v>798</v>
      </c>
      <c r="O272" s="159" t="s">
        <v>799</v>
      </c>
      <c r="P272" s="189" t="s">
        <v>800</v>
      </c>
      <c r="Q272" s="133"/>
      <c r="R272" s="133"/>
      <c r="S272" s="133"/>
    </row>
    <row r="273" spans="1:19" s="75" customFormat="1" ht="149.15">
      <c r="A273" s="188" t="s">
        <v>718</v>
      </c>
      <c r="B273" s="147" t="s">
        <v>798</v>
      </c>
      <c r="C273" s="144" t="s">
        <v>801</v>
      </c>
      <c r="D273" s="145" t="s">
        <v>802</v>
      </c>
      <c r="E273" s="97"/>
      <c r="F273" s="94"/>
      <c r="G273" s="94"/>
      <c r="H273" s="94"/>
      <c r="I273" s="94" t="b">
        <f>EXACT(C273,O273)</f>
        <v>1</v>
      </c>
      <c r="J273" s="94" t="b">
        <f>EXACT(D273,P273)</f>
        <v>1</v>
      </c>
      <c r="K273" s="94" t="s">
        <v>1568</v>
      </c>
      <c r="L273" s="94"/>
      <c r="M273" s="160" t="s">
        <v>718</v>
      </c>
      <c r="N273" s="160" t="s">
        <v>798</v>
      </c>
      <c r="O273" s="159" t="s">
        <v>801</v>
      </c>
      <c r="P273" s="189" t="s">
        <v>802</v>
      </c>
      <c r="Q273" s="133"/>
      <c r="R273" s="133"/>
      <c r="S273" s="133"/>
    </row>
    <row r="274" spans="1:19" s="75" customFormat="1" ht="111.9">
      <c r="A274" s="188" t="s">
        <v>718</v>
      </c>
      <c r="B274" s="147" t="s">
        <v>798</v>
      </c>
      <c r="C274" s="144" t="s">
        <v>803</v>
      </c>
      <c r="D274" s="145" t="s">
        <v>804</v>
      </c>
      <c r="E274" s="97"/>
      <c r="F274" s="94"/>
      <c r="G274" s="94"/>
      <c r="H274" s="94"/>
      <c r="I274" s="94" t="b">
        <f>EXACT(C274,O274)</f>
        <v>1</v>
      </c>
      <c r="J274" s="94" t="b">
        <f>EXACT(D274,P274)</f>
        <v>1</v>
      </c>
      <c r="K274" s="94" t="s">
        <v>1568</v>
      </c>
      <c r="L274" s="94"/>
      <c r="M274" s="160" t="s">
        <v>718</v>
      </c>
      <c r="N274" s="160" t="s">
        <v>798</v>
      </c>
      <c r="O274" s="159" t="s">
        <v>803</v>
      </c>
      <c r="P274" s="189" t="s">
        <v>804</v>
      </c>
      <c r="Q274" s="133"/>
      <c r="R274" s="133"/>
      <c r="S274" s="133"/>
    </row>
    <row r="275" spans="1:19" s="75" customFormat="1" ht="62.15">
      <c r="A275" s="188" t="s">
        <v>718</v>
      </c>
      <c r="B275" s="147" t="s">
        <v>798</v>
      </c>
      <c r="C275" s="144" t="s">
        <v>805</v>
      </c>
      <c r="D275" s="145" t="s">
        <v>806</v>
      </c>
      <c r="E275" s="97"/>
      <c r="F275" s="94"/>
      <c r="G275" s="94"/>
      <c r="H275" s="94"/>
      <c r="I275" s="94" t="b">
        <f>EXACT(C275,O275)</f>
        <v>1</v>
      </c>
      <c r="J275" s="94" t="b">
        <f>EXACT(D275,P275)</f>
        <v>1</v>
      </c>
      <c r="K275" s="94" t="s">
        <v>1568</v>
      </c>
      <c r="L275" s="94"/>
      <c r="M275" s="160" t="s">
        <v>718</v>
      </c>
      <c r="N275" s="160" t="s">
        <v>798</v>
      </c>
      <c r="O275" s="159" t="s">
        <v>805</v>
      </c>
      <c r="P275" s="189" t="s">
        <v>806</v>
      </c>
      <c r="Q275" s="133"/>
      <c r="R275" s="133"/>
      <c r="S275" s="133"/>
    </row>
    <row r="276" spans="1:19" s="75" customFormat="1" ht="49.75">
      <c r="A276" s="188" t="s">
        <v>718</v>
      </c>
      <c r="B276" s="147" t="s">
        <v>798</v>
      </c>
      <c r="C276" s="144" t="s">
        <v>807</v>
      </c>
      <c r="D276" s="145" t="s">
        <v>808</v>
      </c>
      <c r="E276" s="97"/>
      <c r="F276" s="94"/>
      <c r="G276" s="94"/>
      <c r="H276" s="94"/>
      <c r="I276" s="94" t="b">
        <f>EXACT(C276,O276)</f>
        <v>1</v>
      </c>
      <c r="J276" s="94" t="b">
        <f>EXACT(D276,P276)</f>
        <v>1</v>
      </c>
      <c r="K276" s="94" t="s">
        <v>1568</v>
      </c>
      <c r="L276" s="94"/>
      <c r="M276" s="160" t="s">
        <v>718</v>
      </c>
      <c r="N276" s="160" t="s">
        <v>798</v>
      </c>
      <c r="O276" s="159" t="s">
        <v>807</v>
      </c>
      <c r="P276" s="189" t="s">
        <v>808</v>
      </c>
      <c r="Q276" s="133"/>
      <c r="R276" s="133"/>
      <c r="S276" s="133"/>
    </row>
    <row r="277" spans="1:19" s="75" customFormat="1" ht="24.9">
      <c r="A277" s="188" t="s">
        <v>718</v>
      </c>
      <c r="B277" s="147" t="s">
        <v>770</v>
      </c>
      <c r="C277" s="144" t="s">
        <v>773</v>
      </c>
      <c r="D277" s="145" t="s">
        <v>774</v>
      </c>
      <c r="E277" s="97"/>
      <c r="F277" s="94"/>
      <c r="G277" s="94"/>
      <c r="H277" s="94"/>
      <c r="I277" s="94" t="b">
        <f>EXACT(C277,O277)</f>
        <v>1</v>
      </c>
      <c r="J277" s="94" t="b">
        <f>EXACT(D277,P277)</f>
        <v>1</v>
      </c>
      <c r="K277" s="94" t="s">
        <v>1568</v>
      </c>
      <c r="L277" s="94"/>
      <c r="M277" s="160" t="s">
        <v>718</v>
      </c>
      <c r="N277" s="160" t="s">
        <v>770</v>
      </c>
      <c r="O277" s="159" t="s">
        <v>773</v>
      </c>
      <c r="P277" s="189" t="s">
        <v>774</v>
      </c>
      <c r="Q277" s="133"/>
      <c r="R277" s="133"/>
      <c r="S277" s="133"/>
    </row>
    <row r="278" spans="1:19" s="75" customFormat="1" ht="49.75">
      <c r="A278" s="188" t="s">
        <v>718</v>
      </c>
      <c r="B278" s="147" t="s">
        <v>719</v>
      </c>
      <c r="C278" s="144" t="s">
        <v>762</v>
      </c>
      <c r="D278" s="145" t="s">
        <v>763</v>
      </c>
      <c r="E278" s="97"/>
      <c r="F278" s="94"/>
      <c r="G278" s="94"/>
      <c r="H278" s="94"/>
      <c r="I278" s="94" t="b">
        <f>EXACT(C278,O278)</f>
        <v>1</v>
      </c>
      <c r="J278" s="94" t="b">
        <f>EXACT(D278,P278)</f>
        <v>1</v>
      </c>
      <c r="K278" s="94" t="s">
        <v>1568</v>
      </c>
      <c r="L278" s="94"/>
      <c r="M278" s="160" t="s">
        <v>718</v>
      </c>
      <c r="N278" s="160" t="s">
        <v>719</v>
      </c>
      <c r="O278" s="159" t="s">
        <v>762</v>
      </c>
      <c r="P278" s="189" t="s">
        <v>763</v>
      </c>
      <c r="Q278" s="133"/>
      <c r="R278" s="133"/>
      <c r="S278" s="133"/>
    </row>
    <row r="279" spans="1:19" s="75" customFormat="1" ht="24.9">
      <c r="A279" s="188" t="s">
        <v>718</v>
      </c>
      <c r="B279" s="147" t="s">
        <v>798</v>
      </c>
      <c r="C279" s="144" t="s">
        <v>809</v>
      </c>
      <c r="D279" s="145" t="s">
        <v>810</v>
      </c>
      <c r="E279" s="97"/>
      <c r="F279" s="94"/>
      <c r="G279" s="94"/>
      <c r="H279" s="94"/>
      <c r="I279" s="94" t="b">
        <f>EXACT(C279,O279)</f>
        <v>1</v>
      </c>
      <c r="J279" s="94" t="b">
        <f>EXACT(D279,P279)</f>
        <v>1</v>
      </c>
      <c r="K279" s="94" t="s">
        <v>1568</v>
      </c>
      <c r="L279" s="94"/>
      <c r="M279" s="160" t="s">
        <v>718</v>
      </c>
      <c r="N279" s="160" t="s">
        <v>798</v>
      </c>
      <c r="O279" s="159" t="s">
        <v>809</v>
      </c>
      <c r="P279" s="189" t="s">
        <v>810</v>
      </c>
      <c r="Q279" s="133"/>
      <c r="R279" s="133"/>
      <c r="S279" s="133"/>
    </row>
    <row r="280" spans="1:19" s="75" customFormat="1" ht="24.9">
      <c r="A280" s="188" t="s">
        <v>718</v>
      </c>
      <c r="B280" s="147" t="s">
        <v>798</v>
      </c>
      <c r="C280" s="144" t="s">
        <v>811</v>
      </c>
      <c r="D280" s="145" t="s">
        <v>812</v>
      </c>
      <c r="E280" s="97"/>
      <c r="F280" s="94"/>
      <c r="G280" s="94"/>
      <c r="H280" s="94"/>
      <c r="I280" s="94" t="b">
        <f>EXACT(C280,O280)</f>
        <v>1</v>
      </c>
      <c r="J280" s="94" t="b">
        <f>EXACT(D280,P280)</f>
        <v>1</v>
      </c>
      <c r="K280" s="94" t="s">
        <v>1568</v>
      </c>
      <c r="L280" s="94"/>
      <c r="M280" s="160" t="s">
        <v>718</v>
      </c>
      <c r="N280" s="160" t="s">
        <v>798</v>
      </c>
      <c r="O280" s="159" t="s">
        <v>811</v>
      </c>
      <c r="P280" s="189" t="s">
        <v>812</v>
      </c>
      <c r="Q280" s="133"/>
      <c r="R280" s="133"/>
      <c r="S280" s="133"/>
    </row>
    <row r="281" spans="1:19" s="75" customFormat="1" ht="62.15">
      <c r="A281" s="188" t="s">
        <v>718</v>
      </c>
      <c r="B281" s="147" t="s">
        <v>719</v>
      </c>
      <c r="C281" s="144" t="s">
        <v>764</v>
      </c>
      <c r="D281" s="145" t="s">
        <v>765</v>
      </c>
      <c r="E281" s="97"/>
      <c r="F281" s="94"/>
      <c r="G281" s="94"/>
      <c r="H281" s="94"/>
      <c r="I281" s="94" t="b">
        <f>EXACT(C281,O281)</f>
        <v>1</v>
      </c>
      <c r="J281" s="94" t="b">
        <f>EXACT(D281,P281)</f>
        <v>1</v>
      </c>
      <c r="K281" s="94" t="s">
        <v>1568</v>
      </c>
      <c r="L281" s="94"/>
      <c r="M281" s="160" t="s">
        <v>718</v>
      </c>
      <c r="N281" s="160" t="s">
        <v>719</v>
      </c>
      <c r="O281" s="159" t="s">
        <v>764</v>
      </c>
      <c r="P281" s="189" t="s">
        <v>765</v>
      </c>
      <c r="Q281" s="133"/>
      <c r="R281" s="133"/>
      <c r="S281" s="133"/>
    </row>
    <row r="282" spans="1:19" s="75" customFormat="1" ht="37.299999999999997">
      <c r="A282" s="188" t="s">
        <v>718</v>
      </c>
      <c r="B282" s="147" t="s">
        <v>798</v>
      </c>
      <c r="C282" s="144" t="s">
        <v>813</v>
      </c>
      <c r="D282" s="145" t="s">
        <v>814</v>
      </c>
      <c r="E282" s="97"/>
      <c r="F282" s="94"/>
      <c r="G282" s="94"/>
      <c r="H282" s="94"/>
      <c r="I282" s="94" t="b">
        <f>EXACT(C282,O282)</f>
        <v>1</v>
      </c>
      <c r="J282" s="94" t="b">
        <f>EXACT(D282,P282)</f>
        <v>1</v>
      </c>
      <c r="K282" s="94" t="s">
        <v>1568</v>
      </c>
      <c r="L282" s="94"/>
      <c r="M282" s="160" t="s">
        <v>718</v>
      </c>
      <c r="N282" s="160" t="s">
        <v>798</v>
      </c>
      <c r="O282" s="159" t="s">
        <v>813</v>
      </c>
      <c r="P282" s="189" t="s">
        <v>814</v>
      </c>
      <c r="Q282" s="133"/>
      <c r="R282" s="133"/>
      <c r="S282" s="133"/>
    </row>
    <row r="283" spans="1:19" s="75" customFormat="1" ht="37.299999999999997">
      <c r="A283" s="188" t="s">
        <v>718</v>
      </c>
      <c r="B283" s="147" t="s">
        <v>798</v>
      </c>
      <c r="C283" s="144" t="s">
        <v>815</v>
      </c>
      <c r="D283" s="145" t="s">
        <v>816</v>
      </c>
      <c r="E283" s="41"/>
      <c r="F283" s="93"/>
      <c r="G283" s="41"/>
      <c r="H283" s="76"/>
      <c r="I283" s="94" t="b">
        <f>EXACT(C283,O283)</f>
        <v>1</v>
      </c>
      <c r="J283" s="94" t="b">
        <f>EXACT(D283,P283)</f>
        <v>1</v>
      </c>
      <c r="K283" s="94" t="s">
        <v>1568</v>
      </c>
      <c r="L283" s="94"/>
      <c r="M283" s="160" t="s">
        <v>718</v>
      </c>
      <c r="N283" s="160" t="s">
        <v>798</v>
      </c>
      <c r="O283" s="159" t="s">
        <v>815</v>
      </c>
      <c r="P283" s="189" t="s">
        <v>816</v>
      </c>
      <c r="Q283" s="133"/>
      <c r="R283" s="133"/>
      <c r="S283" s="133"/>
    </row>
    <row r="284" spans="1:19" s="75" customFormat="1" ht="37.299999999999997">
      <c r="A284" s="188" t="s">
        <v>718</v>
      </c>
      <c r="B284" s="147" t="s">
        <v>719</v>
      </c>
      <c r="C284" s="144" t="s">
        <v>766</v>
      </c>
      <c r="D284" s="145" t="s">
        <v>767</v>
      </c>
      <c r="E284" s="97"/>
      <c r="F284" s="94"/>
      <c r="G284" s="94"/>
      <c r="H284" s="94"/>
      <c r="I284" s="94" t="b">
        <f>EXACT(C284,O284)</f>
        <v>1</v>
      </c>
      <c r="J284" s="94" t="b">
        <f>EXACT(D284,P284)</f>
        <v>1</v>
      </c>
      <c r="K284" s="94" t="s">
        <v>1568</v>
      </c>
      <c r="L284" s="94"/>
      <c r="M284" s="160" t="s">
        <v>718</v>
      </c>
      <c r="N284" s="160" t="s">
        <v>719</v>
      </c>
      <c r="O284" s="159" t="s">
        <v>766</v>
      </c>
      <c r="P284" s="189" t="s">
        <v>767</v>
      </c>
      <c r="Q284" s="133"/>
      <c r="R284" s="133"/>
      <c r="S284" s="133"/>
    </row>
    <row r="285" spans="1:19" s="75" customFormat="1" ht="24.9">
      <c r="A285" s="188" t="s">
        <v>718</v>
      </c>
      <c r="B285" s="147" t="s">
        <v>719</v>
      </c>
      <c r="C285" s="144" t="s">
        <v>768</v>
      </c>
      <c r="D285" s="145" t="s">
        <v>769</v>
      </c>
      <c r="E285" s="97"/>
      <c r="F285" s="94"/>
      <c r="G285" s="94"/>
      <c r="H285" s="94"/>
      <c r="I285" s="94" t="b">
        <f>EXACT(C285,O285)</f>
        <v>1</v>
      </c>
      <c r="J285" s="94" t="b">
        <f>EXACT(D285,P285)</f>
        <v>1</v>
      </c>
      <c r="K285" s="94" t="s">
        <v>1568</v>
      </c>
      <c r="L285" s="94"/>
      <c r="M285" s="160" t="s">
        <v>718</v>
      </c>
      <c r="N285" s="160" t="s">
        <v>719</v>
      </c>
      <c r="O285" s="159" t="s">
        <v>768</v>
      </c>
      <c r="P285" s="189" t="s">
        <v>769</v>
      </c>
      <c r="Q285" s="133"/>
      <c r="R285" s="133"/>
      <c r="S285" s="133"/>
    </row>
    <row r="286" spans="1:19" s="75" customFormat="1" ht="49.75">
      <c r="A286" s="188" t="s">
        <v>718</v>
      </c>
      <c r="B286" s="147" t="s">
        <v>770</v>
      </c>
      <c r="C286" s="144" t="s">
        <v>775</v>
      </c>
      <c r="D286" s="145" t="s">
        <v>776</v>
      </c>
      <c r="E286" s="97"/>
      <c r="F286" s="94"/>
      <c r="G286" s="94"/>
      <c r="H286" s="94"/>
      <c r="I286" s="94" t="b">
        <f>EXACT(C286,O286)</f>
        <v>1</v>
      </c>
      <c r="J286" s="94" t="b">
        <f>EXACT(D286,P286)</f>
        <v>1</v>
      </c>
      <c r="K286" s="94" t="s">
        <v>1568</v>
      </c>
      <c r="L286" s="94"/>
      <c r="M286" s="160" t="s">
        <v>718</v>
      </c>
      <c r="N286" s="160" t="s">
        <v>770</v>
      </c>
      <c r="O286" s="159" t="s">
        <v>775</v>
      </c>
      <c r="P286" s="189" t="s">
        <v>776</v>
      </c>
      <c r="Q286" s="133"/>
      <c r="R286" s="133"/>
      <c r="S286" s="133"/>
    </row>
    <row r="287" spans="1:19" s="75" customFormat="1" ht="62.15">
      <c r="A287" s="188" t="s">
        <v>718</v>
      </c>
      <c r="B287" s="147" t="s">
        <v>770</v>
      </c>
      <c r="C287" s="144" t="s">
        <v>777</v>
      </c>
      <c r="D287" s="145" t="s">
        <v>778</v>
      </c>
      <c r="E287" s="97"/>
      <c r="F287" s="94"/>
      <c r="G287" s="94"/>
      <c r="H287" s="94"/>
      <c r="I287" s="94" t="b">
        <f>EXACT(C287,O287)</f>
        <v>1</v>
      </c>
      <c r="J287" s="94" t="b">
        <f>EXACT(D287,P287)</f>
        <v>1</v>
      </c>
      <c r="K287" s="94" t="s">
        <v>1568</v>
      </c>
      <c r="L287" s="94"/>
      <c r="M287" s="160" t="s">
        <v>718</v>
      </c>
      <c r="N287" s="160" t="s">
        <v>770</v>
      </c>
      <c r="O287" s="159" t="s">
        <v>777</v>
      </c>
      <c r="P287" s="189" t="s">
        <v>778</v>
      </c>
      <c r="Q287" s="133"/>
      <c r="R287" s="133"/>
      <c r="S287" s="133"/>
    </row>
    <row r="288" spans="1:19" s="75" customFormat="1" ht="14.6">
      <c r="A288" s="188" t="s">
        <v>718</v>
      </c>
      <c r="B288" s="147" t="s">
        <v>770</v>
      </c>
      <c r="C288" s="144" t="s">
        <v>779</v>
      </c>
      <c r="D288" s="145" t="s">
        <v>780</v>
      </c>
      <c r="E288" s="97"/>
      <c r="F288" s="94"/>
      <c r="G288" s="94"/>
      <c r="H288" s="94"/>
      <c r="I288" s="94" t="b">
        <f>EXACT(C288,O288)</f>
        <v>1</v>
      </c>
      <c r="J288" s="94" t="b">
        <f>EXACT(D288,P288)</f>
        <v>1</v>
      </c>
      <c r="K288" s="94" t="s">
        <v>1568</v>
      </c>
      <c r="L288" s="94"/>
      <c r="M288" s="160" t="s">
        <v>718</v>
      </c>
      <c r="N288" s="160" t="s">
        <v>770</v>
      </c>
      <c r="O288" s="159" t="s">
        <v>779</v>
      </c>
      <c r="P288" s="189" t="s">
        <v>780</v>
      </c>
      <c r="Q288" s="133"/>
      <c r="R288" s="133"/>
      <c r="S288" s="133"/>
    </row>
    <row r="289" spans="1:19" s="75" customFormat="1" ht="14.6">
      <c r="A289" s="188" t="s">
        <v>718</v>
      </c>
      <c r="B289" s="147" t="s">
        <v>770</v>
      </c>
      <c r="C289" s="144" t="s">
        <v>781</v>
      </c>
      <c r="D289" s="145" t="s">
        <v>782</v>
      </c>
      <c r="E289" s="97"/>
      <c r="F289" s="94"/>
      <c r="G289" s="94"/>
      <c r="H289" s="94"/>
      <c r="I289" s="94" t="b">
        <f>EXACT(C289,O289)</f>
        <v>1</v>
      </c>
      <c r="J289" s="94" t="b">
        <f>EXACT(D289,P289)</f>
        <v>1</v>
      </c>
      <c r="K289" s="94" t="s">
        <v>1568</v>
      </c>
      <c r="L289" s="94"/>
      <c r="M289" s="160" t="s">
        <v>718</v>
      </c>
      <c r="N289" s="160" t="s">
        <v>770</v>
      </c>
      <c r="O289" s="159" t="s">
        <v>781</v>
      </c>
      <c r="P289" s="189" t="s">
        <v>782</v>
      </c>
      <c r="Q289" s="133"/>
      <c r="R289" s="133"/>
      <c r="S289" s="133"/>
    </row>
    <row r="290" spans="1:19" s="75" customFormat="1" ht="14.6">
      <c r="A290" s="188" t="s">
        <v>718</v>
      </c>
      <c r="B290" s="147" t="s">
        <v>770</v>
      </c>
      <c r="C290" s="144" t="s">
        <v>783</v>
      </c>
      <c r="D290" s="145" t="s">
        <v>784</v>
      </c>
      <c r="E290" s="97"/>
      <c r="F290" s="94"/>
      <c r="G290" s="94"/>
      <c r="H290" s="94"/>
      <c r="I290" s="94" t="b">
        <f>EXACT(C290,O290)</f>
        <v>1</v>
      </c>
      <c r="J290" s="94" t="b">
        <f>EXACT(D290,P290)</f>
        <v>1</v>
      </c>
      <c r="K290" s="94" t="s">
        <v>1568</v>
      </c>
      <c r="L290" s="94"/>
      <c r="M290" s="160" t="s">
        <v>718</v>
      </c>
      <c r="N290" s="160" t="s">
        <v>770</v>
      </c>
      <c r="O290" s="159" t="s">
        <v>783</v>
      </c>
      <c r="P290" s="189" t="s">
        <v>784</v>
      </c>
      <c r="Q290" s="133"/>
      <c r="R290" s="133"/>
      <c r="S290" s="133"/>
    </row>
    <row r="291" spans="1:19" s="75" customFormat="1" ht="14.6">
      <c r="A291" s="188" t="s">
        <v>718</v>
      </c>
      <c r="B291" s="147" t="s">
        <v>770</v>
      </c>
      <c r="C291" s="144" t="s">
        <v>785</v>
      </c>
      <c r="D291" s="145" t="s">
        <v>786</v>
      </c>
      <c r="E291" s="97"/>
      <c r="F291" s="94"/>
      <c r="G291" s="94"/>
      <c r="H291" s="94"/>
      <c r="I291" s="94" t="b">
        <f>EXACT(C291,O291)</f>
        <v>1</v>
      </c>
      <c r="J291" s="94" t="b">
        <f>EXACT(D291,P291)</f>
        <v>1</v>
      </c>
      <c r="K291" s="94" t="s">
        <v>1568</v>
      </c>
      <c r="L291" s="94"/>
      <c r="M291" s="160" t="s">
        <v>718</v>
      </c>
      <c r="N291" s="160" t="s">
        <v>770</v>
      </c>
      <c r="O291" s="159" t="s">
        <v>785</v>
      </c>
      <c r="P291" s="189" t="s">
        <v>786</v>
      </c>
      <c r="Q291" s="133"/>
      <c r="R291" s="133"/>
      <c r="S291" s="133"/>
    </row>
    <row r="292" spans="1:19" s="75" customFormat="1" ht="14.6">
      <c r="A292" s="188" t="s">
        <v>842</v>
      </c>
      <c r="B292" s="147" t="s">
        <v>902</v>
      </c>
      <c r="C292" s="144" t="s">
        <v>903</v>
      </c>
      <c r="D292" s="145" t="s">
        <v>904</v>
      </c>
      <c r="E292" s="97"/>
      <c r="F292" s="94"/>
      <c r="G292" s="94"/>
      <c r="H292" s="94"/>
      <c r="I292" s="94" t="b">
        <f>EXACT(C292,O292)</f>
        <v>1</v>
      </c>
      <c r="J292" s="94" t="b">
        <f>EXACT(D292,P292)</f>
        <v>1</v>
      </c>
      <c r="K292" s="94" t="s">
        <v>1568</v>
      </c>
      <c r="L292" s="94"/>
      <c r="M292" s="160" t="s">
        <v>842</v>
      </c>
      <c r="N292" s="160" t="s">
        <v>902</v>
      </c>
      <c r="O292" s="159" t="s">
        <v>903</v>
      </c>
      <c r="P292" s="189" t="s">
        <v>904</v>
      </c>
      <c r="Q292" s="133"/>
      <c r="R292" s="133"/>
      <c r="S292" s="133"/>
    </row>
    <row r="293" spans="1:19" s="75" customFormat="1" ht="43.75">
      <c r="A293" s="188" t="s">
        <v>842</v>
      </c>
      <c r="B293" s="147" t="s">
        <v>854</v>
      </c>
      <c r="C293" s="144" t="s">
        <v>855</v>
      </c>
      <c r="D293" s="152" t="s">
        <v>856</v>
      </c>
      <c r="E293" s="97"/>
      <c r="F293" s="94"/>
      <c r="G293" s="94"/>
      <c r="H293" s="94"/>
      <c r="I293" s="94" t="b">
        <f>EXACT(C293,O293)</f>
        <v>1</v>
      </c>
      <c r="J293" s="94" t="b">
        <f>EXACT(D293,P293)</f>
        <v>1</v>
      </c>
      <c r="K293" s="94" t="s">
        <v>1568</v>
      </c>
      <c r="L293" s="94"/>
      <c r="M293" s="160" t="s">
        <v>842</v>
      </c>
      <c r="N293" s="160" t="s">
        <v>854</v>
      </c>
      <c r="O293" s="159" t="s">
        <v>855</v>
      </c>
      <c r="P293" s="195" t="s">
        <v>856</v>
      </c>
      <c r="Q293" s="133"/>
      <c r="R293" s="133"/>
      <c r="S293" s="133"/>
    </row>
    <row r="294" spans="1:19" s="75" customFormat="1" ht="102">
      <c r="A294" s="188" t="s">
        <v>842</v>
      </c>
      <c r="B294" s="147" t="s">
        <v>854</v>
      </c>
      <c r="C294" s="144" t="s">
        <v>857</v>
      </c>
      <c r="D294" s="152" t="s">
        <v>858</v>
      </c>
      <c r="E294" s="97"/>
      <c r="F294" s="94"/>
      <c r="G294" s="94"/>
      <c r="H294" s="94"/>
      <c r="I294" s="94" t="b">
        <f>EXACT(C294,O294)</f>
        <v>1</v>
      </c>
      <c r="J294" s="94" t="b">
        <f>EXACT(D294,P294)</f>
        <v>1</v>
      </c>
      <c r="K294" s="94" t="s">
        <v>1568</v>
      </c>
      <c r="L294" s="94"/>
      <c r="M294" s="160" t="s">
        <v>842</v>
      </c>
      <c r="N294" s="160" t="s">
        <v>854</v>
      </c>
      <c r="O294" s="159" t="s">
        <v>857</v>
      </c>
      <c r="P294" s="195" t="s">
        <v>858</v>
      </c>
      <c r="Q294" s="133"/>
      <c r="R294" s="133"/>
      <c r="S294" s="133"/>
    </row>
    <row r="295" spans="1:19" s="75" customFormat="1" ht="102">
      <c r="A295" s="188" t="s">
        <v>842</v>
      </c>
      <c r="B295" s="147" t="s">
        <v>854</v>
      </c>
      <c r="C295" s="144" t="s">
        <v>859</v>
      </c>
      <c r="D295" s="152" t="s">
        <v>860</v>
      </c>
      <c r="E295" s="97"/>
      <c r="F295" s="94"/>
      <c r="G295" s="94"/>
      <c r="H295" s="94"/>
      <c r="I295" s="94" t="b">
        <f>EXACT(C295,O295)</f>
        <v>1</v>
      </c>
      <c r="J295" s="94" t="b">
        <f>EXACT(D295,P295)</f>
        <v>1</v>
      </c>
      <c r="K295" s="94" t="s">
        <v>1568</v>
      </c>
      <c r="L295" s="94"/>
      <c r="M295" s="160" t="s">
        <v>842</v>
      </c>
      <c r="N295" s="160" t="s">
        <v>854</v>
      </c>
      <c r="O295" s="159" t="s">
        <v>859</v>
      </c>
      <c r="P295" s="195" t="s">
        <v>860</v>
      </c>
      <c r="Q295" s="133"/>
      <c r="R295" s="133"/>
      <c r="S295" s="133"/>
    </row>
    <row r="296" spans="1:19" s="75" customFormat="1" ht="87.45">
      <c r="A296" s="188" t="s">
        <v>842</v>
      </c>
      <c r="B296" s="147" t="s">
        <v>854</v>
      </c>
      <c r="C296" s="144" t="s">
        <v>861</v>
      </c>
      <c r="D296" s="152" t="s">
        <v>862</v>
      </c>
      <c r="E296" s="97"/>
      <c r="F296" s="94"/>
      <c r="G296" s="94"/>
      <c r="H296" s="94"/>
      <c r="I296" s="94" t="b">
        <f>EXACT(C296,O296)</f>
        <v>1</v>
      </c>
      <c r="J296" s="94" t="b">
        <f>EXACT(D296,P296)</f>
        <v>1</v>
      </c>
      <c r="K296" s="94" t="s">
        <v>1568</v>
      </c>
      <c r="L296" s="94"/>
      <c r="M296" s="160" t="s">
        <v>842</v>
      </c>
      <c r="N296" s="160" t="s">
        <v>854</v>
      </c>
      <c r="O296" s="159" t="s">
        <v>861</v>
      </c>
      <c r="P296" s="195" t="s">
        <v>862</v>
      </c>
      <c r="Q296" s="133"/>
      <c r="R296" s="133"/>
      <c r="S296" s="133"/>
    </row>
    <row r="297" spans="1:19" s="75" customFormat="1" ht="58.3">
      <c r="A297" s="188" t="s">
        <v>842</v>
      </c>
      <c r="B297" s="147" t="s">
        <v>843</v>
      </c>
      <c r="C297" s="144" t="s">
        <v>844</v>
      </c>
      <c r="D297" s="152" t="s">
        <v>845</v>
      </c>
      <c r="E297" s="97"/>
      <c r="F297" s="94"/>
      <c r="G297" s="94"/>
      <c r="H297" s="94"/>
      <c r="I297" s="94" t="b">
        <f>EXACT(C297,O297)</f>
        <v>1</v>
      </c>
      <c r="J297" s="94" t="b">
        <f>EXACT(D297,P297)</f>
        <v>1</v>
      </c>
      <c r="K297" s="94" t="s">
        <v>1568</v>
      </c>
      <c r="L297" s="94"/>
      <c r="M297" s="160" t="s">
        <v>842</v>
      </c>
      <c r="N297" s="160" t="s">
        <v>843</v>
      </c>
      <c r="O297" s="159" t="s">
        <v>844</v>
      </c>
      <c r="P297" s="195" t="s">
        <v>845</v>
      </c>
      <c r="Q297" s="133"/>
      <c r="R297" s="133"/>
      <c r="S297" s="133"/>
    </row>
    <row r="298" spans="1:19" s="75" customFormat="1" ht="72.900000000000006">
      <c r="A298" s="188" t="s">
        <v>842</v>
      </c>
      <c r="B298" s="147" t="s">
        <v>871</v>
      </c>
      <c r="C298" s="144" t="s">
        <v>872</v>
      </c>
      <c r="D298" s="152" t="s">
        <v>873</v>
      </c>
      <c r="E298" s="97"/>
      <c r="F298" s="94"/>
      <c r="G298" s="94"/>
      <c r="H298" s="94"/>
      <c r="I298" s="94" t="b">
        <f>EXACT(C298,O298)</f>
        <v>1</v>
      </c>
      <c r="J298" s="94" t="b">
        <f>EXACT(D298,P298)</f>
        <v>1</v>
      </c>
      <c r="K298" s="94" t="s">
        <v>1568</v>
      </c>
      <c r="L298" s="94"/>
      <c r="M298" s="160" t="s">
        <v>842</v>
      </c>
      <c r="N298" s="160" t="s">
        <v>871</v>
      </c>
      <c r="O298" s="159" t="s">
        <v>872</v>
      </c>
      <c r="P298" s="195" t="s">
        <v>873</v>
      </c>
      <c r="Q298" s="133"/>
      <c r="R298" s="133"/>
      <c r="S298" s="133"/>
    </row>
    <row r="299" spans="1:19" s="75" customFormat="1" ht="72.900000000000006">
      <c r="A299" s="188" t="s">
        <v>842</v>
      </c>
      <c r="B299" s="147" t="s">
        <v>871</v>
      </c>
      <c r="C299" s="144" t="s">
        <v>874</v>
      </c>
      <c r="D299" s="152" t="s">
        <v>875</v>
      </c>
      <c r="E299" s="97"/>
      <c r="F299" s="94"/>
      <c r="G299" s="94"/>
      <c r="H299" s="94"/>
      <c r="I299" s="94" t="b">
        <f>EXACT(C299,O299)</f>
        <v>1</v>
      </c>
      <c r="J299" s="94" t="b">
        <f>EXACT(D299,P299)</f>
        <v>1</v>
      </c>
      <c r="K299" s="94" t="s">
        <v>1568</v>
      </c>
      <c r="L299" s="94"/>
      <c r="M299" s="160" t="s">
        <v>842</v>
      </c>
      <c r="N299" s="160" t="s">
        <v>871</v>
      </c>
      <c r="O299" s="159" t="s">
        <v>874</v>
      </c>
      <c r="P299" s="195" t="s">
        <v>875</v>
      </c>
      <c r="Q299" s="131"/>
      <c r="R299" s="131"/>
      <c r="S299" s="131"/>
    </row>
    <row r="300" spans="1:19" s="75" customFormat="1" ht="72.900000000000006">
      <c r="A300" s="188" t="s">
        <v>842</v>
      </c>
      <c r="B300" s="147" t="s">
        <v>871</v>
      </c>
      <c r="C300" s="144" t="s">
        <v>876</v>
      </c>
      <c r="D300" s="152" t="s">
        <v>877</v>
      </c>
      <c r="E300" s="97"/>
      <c r="F300" s="94"/>
      <c r="G300" s="94"/>
      <c r="H300" s="94"/>
      <c r="I300" s="94" t="b">
        <f>EXACT(C300,O300)</f>
        <v>1</v>
      </c>
      <c r="J300" s="94" t="b">
        <f>EXACT(D300,P300)</f>
        <v>1</v>
      </c>
      <c r="K300" s="94" t="s">
        <v>1568</v>
      </c>
      <c r="L300" s="94"/>
      <c r="M300" s="160" t="s">
        <v>842</v>
      </c>
      <c r="N300" s="160" t="s">
        <v>871</v>
      </c>
      <c r="O300" s="159" t="s">
        <v>876</v>
      </c>
      <c r="P300" s="195" t="s">
        <v>877</v>
      </c>
      <c r="Q300" s="131"/>
      <c r="R300" s="131"/>
      <c r="S300" s="131"/>
    </row>
    <row r="301" spans="1:19" s="75" customFormat="1" ht="131.15">
      <c r="A301" s="188" t="s">
        <v>842</v>
      </c>
      <c r="B301" s="147" t="s">
        <v>871</v>
      </c>
      <c r="C301" s="144" t="s">
        <v>878</v>
      </c>
      <c r="D301" s="152" t="s">
        <v>879</v>
      </c>
      <c r="E301" s="97"/>
      <c r="F301" s="94"/>
      <c r="G301" s="94"/>
      <c r="H301" s="94"/>
      <c r="I301" s="94" t="b">
        <f>EXACT(C301,O301)</f>
        <v>1</v>
      </c>
      <c r="J301" s="94" t="b">
        <f>EXACT(D301,P301)</f>
        <v>1</v>
      </c>
      <c r="K301" s="94" t="s">
        <v>1568</v>
      </c>
      <c r="L301" s="94"/>
      <c r="M301" s="160" t="s">
        <v>842</v>
      </c>
      <c r="N301" s="160" t="s">
        <v>871</v>
      </c>
      <c r="O301" s="159" t="s">
        <v>878</v>
      </c>
      <c r="P301" s="195" t="s">
        <v>879</v>
      </c>
      <c r="Q301" s="131"/>
      <c r="R301" s="131"/>
      <c r="S301" s="131"/>
    </row>
    <row r="302" spans="1:19" s="75" customFormat="1" ht="72.900000000000006">
      <c r="A302" s="188" t="s">
        <v>842</v>
      </c>
      <c r="B302" s="147" t="s">
        <v>871</v>
      </c>
      <c r="C302" s="144" t="s">
        <v>880</v>
      </c>
      <c r="D302" s="152" t="s">
        <v>881</v>
      </c>
      <c r="E302" s="97"/>
      <c r="F302" s="94"/>
      <c r="G302" s="94"/>
      <c r="H302" s="94"/>
      <c r="I302" s="94" t="b">
        <f>EXACT(C302,O302)</f>
        <v>1</v>
      </c>
      <c r="J302" s="94" t="b">
        <f>EXACT(D302,P302)</f>
        <v>1</v>
      </c>
      <c r="K302" s="94" t="s">
        <v>1568</v>
      </c>
      <c r="L302" s="94"/>
      <c r="M302" s="160" t="s">
        <v>842</v>
      </c>
      <c r="N302" s="160" t="s">
        <v>871</v>
      </c>
      <c r="O302" s="159" t="s">
        <v>880</v>
      </c>
      <c r="P302" s="195" t="s">
        <v>881</v>
      </c>
      <c r="Q302" s="131"/>
      <c r="R302" s="131"/>
      <c r="S302" s="131"/>
    </row>
    <row r="303" spans="1:19" s="75" customFormat="1" ht="14.6">
      <c r="A303" s="188" t="s">
        <v>842</v>
      </c>
      <c r="B303" s="147" t="s">
        <v>902</v>
      </c>
      <c r="C303" s="144" t="s">
        <v>905</v>
      </c>
      <c r="D303" s="145" t="s">
        <v>906</v>
      </c>
      <c r="E303" s="97"/>
      <c r="F303" s="94"/>
      <c r="G303" s="94"/>
      <c r="H303" s="94"/>
      <c r="I303" s="94" t="b">
        <f>EXACT(C303,O303)</f>
        <v>1</v>
      </c>
      <c r="J303" s="94" t="b">
        <f>EXACT(D303,P303)</f>
        <v>1</v>
      </c>
      <c r="K303" s="94" t="s">
        <v>1568</v>
      </c>
      <c r="L303" s="94"/>
      <c r="M303" s="160" t="s">
        <v>842</v>
      </c>
      <c r="N303" s="160" t="s">
        <v>902</v>
      </c>
      <c r="O303" s="159" t="s">
        <v>905</v>
      </c>
      <c r="P303" s="189" t="s">
        <v>906</v>
      </c>
      <c r="Q303" s="131"/>
      <c r="R303" s="131"/>
      <c r="S303" s="131"/>
    </row>
    <row r="304" spans="1:19" s="75" customFormat="1" ht="72.900000000000006">
      <c r="A304" s="188" t="s">
        <v>842</v>
      </c>
      <c r="B304" s="147" t="s">
        <v>871</v>
      </c>
      <c r="C304" s="144" t="s">
        <v>882</v>
      </c>
      <c r="D304" s="152" t="s">
        <v>883</v>
      </c>
      <c r="E304" s="97"/>
      <c r="F304" s="94"/>
      <c r="G304" s="94"/>
      <c r="H304" s="94"/>
      <c r="I304" s="94" t="b">
        <f>EXACT(C304,O304)</f>
        <v>1</v>
      </c>
      <c r="J304" s="94" t="b">
        <f>EXACT(D304,P304)</f>
        <v>1</v>
      </c>
      <c r="K304" s="94" t="s">
        <v>1568</v>
      </c>
      <c r="L304" s="94"/>
      <c r="M304" s="160" t="s">
        <v>842</v>
      </c>
      <c r="N304" s="160" t="s">
        <v>871</v>
      </c>
      <c r="O304" s="159" t="s">
        <v>882</v>
      </c>
      <c r="P304" s="195" t="s">
        <v>883</v>
      </c>
      <c r="Q304" s="131"/>
      <c r="R304" s="131"/>
      <c r="S304" s="131"/>
    </row>
    <row r="305" spans="1:19" s="75" customFormat="1" ht="72.900000000000006">
      <c r="A305" s="188" t="s">
        <v>842</v>
      </c>
      <c r="B305" s="147" t="s">
        <v>871</v>
      </c>
      <c r="C305" s="144" t="s">
        <v>884</v>
      </c>
      <c r="D305" s="152" t="s">
        <v>885</v>
      </c>
      <c r="E305" s="97"/>
      <c r="F305" s="94"/>
      <c r="G305" s="94"/>
      <c r="H305" s="94"/>
      <c r="I305" s="94" t="b">
        <f>EXACT(C305,O305)</f>
        <v>1</v>
      </c>
      <c r="J305" s="94" t="b">
        <f>EXACT(D305,P305)</f>
        <v>1</v>
      </c>
      <c r="K305" s="94" t="s">
        <v>1568</v>
      </c>
      <c r="L305" s="94"/>
      <c r="M305" s="160" t="s">
        <v>842</v>
      </c>
      <c r="N305" s="160" t="s">
        <v>871</v>
      </c>
      <c r="O305" s="159" t="s">
        <v>884</v>
      </c>
      <c r="P305" s="195" t="s">
        <v>885</v>
      </c>
      <c r="Q305" s="131"/>
      <c r="R305" s="131"/>
      <c r="S305" s="131"/>
    </row>
    <row r="306" spans="1:19" s="75" customFormat="1" ht="72.900000000000006">
      <c r="A306" s="188" t="s">
        <v>842</v>
      </c>
      <c r="B306" s="147" t="s">
        <v>871</v>
      </c>
      <c r="C306" s="144" t="s">
        <v>886</v>
      </c>
      <c r="D306" s="152" t="s">
        <v>887</v>
      </c>
      <c r="E306" s="97"/>
      <c r="F306" s="94"/>
      <c r="G306" s="94"/>
      <c r="H306" s="94"/>
      <c r="I306" s="94" t="b">
        <f>EXACT(C306,O306)</f>
        <v>1</v>
      </c>
      <c r="J306" s="94" t="b">
        <f>EXACT(D306,P306)</f>
        <v>1</v>
      </c>
      <c r="K306" s="94" t="s">
        <v>1568</v>
      </c>
      <c r="L306" s="94"/>
      <c r="M306" s="160" t="s">
        <v>842</v>
      </c>
      <c r="N306" s="160" t="s">
        <v>871</v>
      </c>
      <c r="O306" s="159" t="s">
        <v>886</v>
      </c>
      <c r="P306" s="195" t="s">
        <v>887</v>
      </c>
      <c r="Q306" s="131"/>
      <c r="R306" s="131"/>
      <c r="S306" s="131"/>
    </row>
    <row r="307" spans="1:19" s="75" customFormat="1" ht="49.75">
      <c r="A307" s="188" t="s">
        <v>842</v>
      </c>
      <c r="B307" s="147" t="s">
        <v>843</v>
      </c>
      <c r="C307" s="144" t="s">
        <v>846</v>
      </c>
      <c r="D307" s="145" t="s">
        <v>847</v>
      </c>
      <c r="E307" s="97"/>
      <c r="F307" s="94"/>
      <c r="G307" s="94"/>
      <c r="H307" s="94"/>
      <c r="I307" s="94" t="b">
        <f>EXACT(C307,O307)</f>
        <v>1</v>
      </c>
      <c r="J307" s="94" t="b">
        <f>EXACT(D307,P307)</f>
        <v>1</v>
      </c>
      <c r="K307" s="94" t="s">
        <v>1568</v>
      </c>
      <c r="L307" s="94"/>
      <c r="M307" s="160" t="s">
        <v>842</v>
      </c>
      <c r="N307" s="160" t="s">
        <v>843</v>
      </c>
      <c r="O307" s="159" t="s">
        <v>846</v>
      </c>
      <c r="P307" s="189" t="s">
        <v>847</v>
      </c>
      <c r="Q307" s="131"/>
      <c r="R307" s="131"/>
      <c r="S307" s="131"/>
    </row>
    <row r="308" spans="1:19" s="75" customFormat="1" ht="74.599999999999994">
      <c r="A308" s="188" t="s">
        <v>842</v>
      </c>
      <c r="B308" s="147" t="s">
        <v>843</v>
      </c>
      <c r="C308" s="144" t="s">
        <v>848</v>
      </c>
      <c r="D308" s="145" t="s">
        <v>849</v>
      </c>
      <c r="E308" s="97"/>
      <c r="F308" s="94"/>
      <c r="G308" s="94"/>
      <c r="H308" s="94"/>
      <c r="I308" s="94" t="b">
        <f>EXACT(C308,O308)</f>
        <v>1</v>
      </c>
      <c r="J308" s="94" t="b">
        <f>EXACT(D308,P308)</f>
        <v>1</v>
      </c>
      <c r="K308" s="94" t="s">
        <v>1568</v>
      </c>
      <c r="L308" s="94"/>
      <c r="M308" s="160" t="s">
        <v>842</v>
      </c>
      <c r="N308" s="160" t="s">
        <v>843</v>
      </c>
      <c r="O308" s="159" t="s">
        <v>848</v>
      </c>
      <c r="P308" s="189" t="s">
        <v>849</v>
      </c>
      <c r="Q308" s="131"/>
      <c r="R308" s="131"/>
      <c r="S308" s="131"/>
    </row>
    <row r="309" spans="1:19" s="75" customFormat="1" ht="74.599999999999994">
      <c r="A309" s="188" t="s">
        <v>842</v>
      </c>
      <c r="B309" s="147" t="s">
        <v>843</v>
      </c>
      <c r="C309" s="144" t="s">
        <v>850</v>
      </c>
      <c r="D309" s="145" t="s">
        <v>851</v>
      </c>
      <c r="E309" s="97"/>
      <c r="F309" s="94"/>
      <c r="G309" s="94"/>
      <c r="H309" s="94"/>
      <c r="I309" s="94" t="b">
        <f>EXACT(C309,O309)</f>
        <v>1</v>
      </c>
      <c r="J309" s="94" t="b">
        <f>EXACT(D309,P309)</f>
        <v>1</v>
      </c>
      <c r="K309" s="94" t="s">
        <v>1568</v>
      </c>
      <c r="L309" s="94"/>
      <c r="M309" s="160" t="s">
        <v>842</v>
      </c>
      <c r="N309" s="160" t="s">
        <v>843</v>
      </c>
      <c r="O309" s="159" t="s">
        <v>850</v>
      </c>
      <c r="P309" s="189" t="s">
        <v>851</v>
      </c>
      <c r="Q309" s="131"/>
      <c r="R309" s="131"/>
      <c r="S309" s="131"/>
    </row>
    <row r="310" spans="1:19" s="75" customFormat="1" ht="49.75">
      <c r="A310" s="196" t="s">
        <v>842</v>
      </c>
      <c r="B310" s="147" t="s">
        <v>843</v>
      </c>
      <c r="C310" s="144" t="s">
        <v>852</v>
      </c>
      <c r="D310" s="145" t="s">
        <v>853</v>
      </c>
      <c r="E310" s="97"/>
      <c r="F310" s="94"/>
      <c r="G310" s="94"/>
      <c r="H310" s="94"/>
      <c r="I310" s="94" t="b">
        <f>EXACT(C310,O310)</f>
        <v>1</v>
      </c>
      <c r="J310" s="94" t="b">
        <f>EXACT(D310,P310)</f>
        <v>1</v>
      </c>
      <c r="K310" s="94" t="s">
        <v>1568</v>
      </c>
      <c r="L310" s="94"/>
      <c r="M310" s="169" t="s">
        <v>842</v>
      </c>
      <c r="N310" s="160" t="s">
        <v>843</v>
      </c>
      <c r="O310" s="159" t="s">
        <v>852</v>
      </c>
      <c r="P310" s="189" t="s">
        <v>853</v>
      </c>
      <c r="Q310" s="130"/>
      <c r="R310" s="130"/>
      <c r="S310" s="130"/>
    </row>
    <row r="311" spans="1:19" s="75" customFormat="1" ht="74.599999999999994">
      <c r="A311" s="188" t="s">
        <v>842</v>
      </c>
      <c r="B311" s="147" t="s">
        <v>893</v>
      </c>
      <c r="C311" s="144" t="s">
        <v>894</v>
      </c>
      <c r="D311" s="145" t="s">
        <v>895</v>
      </c>
      <c r="E311" s="97"/>
      <c r="F311" s="94"/>
      <c r="G311" s="94"/>
      <c r="H311" s="94"/>
      <c r="I311" s="94" t="b">
        <f>EXACT(C311,O311)</f>
        <v>1</v>
      </c>
      <c r="J311" s="94" t="b">
        <f>EXACT(D311,P311)</f>
        <v>1</v>
      </c>
      <c r="K311" s="94" t="s">
        <v>1568</v>
      </c>
      <c r="L311" s="94"/>
      <c r="M311" s="160" t="s">
        <v>842</v>
      </c>
      <c r="N311" s="160" t="s">
        <v>893</v>
      </c>
      <c r="O311" s="159" t="s">
        <v>894</v>
      </c>
      <c r="P311" s="189" t="s">
        <v>895</v>
      </c>
      <c r="Q311" s="130"/>
      <c r="R311" s="130"/>
      <c r="S311" s="130"/>
    </row>
    <row r="312" spans="1:19" s="75" customFormat="1" ht="62.15">
      <c r="A312" s="188" t="s">
        <v>842</v>
      </c>
      <c r="B312" s="147" t="s">
        <v>893</v>
      </c>
      <c r="C312" s="144" t="s">
        <v>896</v>
      </c>
      <c r="D312" s="145" t="s">
        <v>897</v>
      </c>
      <c r="E312" s="97"/>
      <c r="F312" s="94"/>
      <c r="G312" s="94"/>
      <c r="H312" s="94"/>
      <c r="I312" s="94" t="b">
        <f>EXACT(C312,O312)</f>
        <v>1</v>
      </c>
      <c r="J312" s="94" t="b">
        <f>EXACT(D312,P312)</f>
        <v>1</v>
      </c>
      <c r="K312" s="94" t="s">
        <v>1568</v>
      </c>
      <c r="L312" s="94"/>
      <c r="M312" s="160" t="s">
        <v>842</v>
      </c>
      <c r="N312" s="160" t="s">
        <v>893</v>
      </c>
      <c r="O312" s="159" t="s">
        <v>896</v>
      </c>
      <c r="P312" s="189" t="s">
        <v>897</v>
      </c>
      <c r="Q312" s="130"/>
      <c r="R312" s="130"/>
      <c r="S312" s="130"/>
    </row>
    <row r="313" spans="1:19" s="75" customFormat="1" ht="62.15">
      <c r="A313" s="188" t="s">
        <v>842</v>
      </c>
      <c r="B313" s="147" t="s">
        <v>893</v>
      </c>
      <c r="C313" s="144" t="s">
        <v>898</v>
      </c>
      <c r="D313" s="145" t="s">
        <v>899</v>
      </c>
      <c r="E313" s="97"/>
      <c r="F313" s="94"/>
      <c r="G313" s="94"/>
      <c r="H313" s="94"/>
      <c r="I313" s="94" t="b">
        <f>EXACT(C313,O313)</f>
        <v>1</v>
      </c>
      <c r="J313" s="94" t="b">
        <f>EXACT(D313,P313)</f>
        <v>1</v>
      </c>
      <c r="K313" s="94" t="s">
        <v>1568</v>
      </c>
      <c r="L313" s="94"/>
      <c r="M313" s="160" t="s">
        <v>842</v>
      </c>
      <c r="N313" s="160" t="s">
        <v>893</v>
      </c>
      <c r="O313" s="159" t="s">
        <v>898</v>
      </c>
      <c r="P313" s="189" t="s">
        <v>899</v>
      </c>
      <c r="Q313" s="131"/>
      <c r="R313" s="131"/>
      <c r="S313" s="131"/>
    </row>
    <row r="314" spans="1:19" s="75" customFormat="1" ht="14.6">
      <c r="A314" s="188" t="s">
        <v>842</v>
      </c>
      <c r="B314" s="147" t="s">
        <v>902</v>
      </c>
      <c r="C314" s="144" t="s">
        <v>907</v>
      </c>
      <c r="D314" s="145" t="s">
        <v>908</v>
      </c>
      <c r="E314" s="97"/>
      <c r="F314" s="94"/>
      <c r="G314" s="94"/>
      <c r="H314" s="94"/>
      <c r="I314" s="94" t="b">
        <f>EXACT(C314,O314)</f>
        <v>1</v>
      </c>
      <c r="J314" s="94" t="b">
        <f>EXACT(D314,P314)</f>
        <v>1</v>
      </c>
      <c r="K314" s="94" t="s">
        <v>1568</v>
      </c>
      <c r="L314" s="94"/>
      <c r="M314" s="160" t="s">
        <v>842</v>
      </c>
      <c r="N314" s="160" t="s">
        <v>902</v>
      </c>
      <c r="O314" s="159" t="s">
        <v>907</v>
      </c>
      <c r="P314" s="189" t="s">
        <v>908</v>
      </c>
      <c r="Q314" s="130"/>
      <c r="R314" s="130"/>
      <c r="S314" s="130"/>
    </row>
    <row r="315" spans="1:19" s="75" customFormat="1" ht="62.15">
      <c r="A315" s="188" t="s">
        <v>842</v>
      </c>
      <c r="B315" s="147" t="s">
        <v>893</v>
      </c>
      <c r="C315" s="144" t="s">
        <v>900</v>
      </c>
      <c r="D315" s="145" t="s">
        <v>901</v>
      </c>
      <c r="E315" s="41"/>
      <c r="F315" s="93"/>
      <c r="G315" s="41"/>
      <c r="H315" s="76"/>
      <c r="I315" s="94" t="b">
        <f>EXACT(C315,O315)</f>
        <v>1</v>
      </c>
      <c r="J315" s="94" t="b">
        <f>EXACT(D315,P315)</f>
        <v>1</v>
      </c>
      <c r="K315" s="94" t="s">
        <v>1568</v>
      </c>
      <c r="L315" s="94"/>
      <c r="M315" s="160" t="s">
        <v>842</v>
      </c>
      <c r="N315" s="160" t="s">
        <v>893</v>
      </c>
      <c r="O315" s="159" t="s">
        <v>900</v>
      </c>
      <c r="P315" s="189" t="s">
        <v>901</v>
      </c>
      <c r="Q315" s="130"/>
      <c r="R315" s="130"/>
      <c r="S315" s="130"/>
    </row>
    <row r="316" spans="1:19" s="75" customFormat="1" ht="58.3">
      <c r="A316" s="188" t="s">
        <v>842</v>
      </c>
      <c r="B316" s="147" t="s">
        <v>871</v>
      </c>
      <c r="C316" s="144" t="s">
        <v>888</v>
      </c>
      <c r="D316" s="152" t="s">
        <v>889</v>
      </c>
      <c r="E316" s="97"/>
      <c r="F316" s="94"/>
      <c r="G316" s="94"/>
      <c r="H316" s="94"/>
      <c r="I316" s="94" t="b">
        <f>EXACT(C316,O316)</f>
        <v>1</v>
      </c>
      <c r="J316" s="94" t="b">
        <f>EXACT(D316,P316)</f>
        <v>1</v>
      </c>
      <c r="K316" s="94" t="s">
        <v>1568</v>
      </c>
      <c r="L316" s="94"/>
      <c r="M316" s="160" t="s">
        <v>842</v>
      </c>
      <c r="N316" s="160" t="s">
        <v>871</v>
      </c>
      <c r="O316" s="159" t="s">
        <v>888</v>
      </c>
      <c r="P316" s="195" t="s">
        <v>889</v>
      </c>
      <c r="Q316" s="130"/>
      <c r="R316" s="130"/>
      <c r="S316" s="130"/>
    </row>
    <row r="317" spans="1:19" s="75" customFormat="1" ht="14.6">
      <c r="A317" s="188" t="s">
        <v>842</v>
      </c>
      <c r="B317" s="147" t="s">
        <v>902</v>
      </c>
      <c r="C317" s="144" t="s">
        <v>909</v>
      </c>
      <c r="D317" s="145" t="s">
        <v>910</v>
      </c>
      <c r="E317" s="97"/>
      <c r="F317" s="94"/>
      <c r="G317" s="94"/>
      <c r="H317" s="94"/>
      <c r="I317" s="94" t="b">
        <f>EXACT(C317,O317)</f>
        <v>1</v>
      </c>
      <c r="J317" s="94" t="b">
        <f>EXACT(D317,P317)</f>
        <v>1</v>
      </c>
      <c r="K317" s="94" t="s">
        <v>1568</v>
      </c>
      <c r="L317" s="94"/>
      <c r="M317" s="160" t="s">
        <v>842</v>
      </c>
      <c r="N317" s="160" t="s">
        <v>902</v>
      </c>
      <c r="O317" s="159" t="s">
        <v>909</v>
      </c>
      <c r="P317" s="189" t="s">
        <v>910</v>
      </c>
      <c r="Q317" s="130"/>
      <c r="R317" s="130"/>
      <c r="S317" s="130"/>
    </row>
    <row r="318" spans="1:19" s="75" customFormat="1" ht="29.15">
      <c r="A318" s="188" t="s">
        <v>842</v>
      </c>
      <c r="B318" s="147" t="s">
        <v>854</v>
      </c>
      <c r="C318" s="144" t="s">
        <v>863</v>
      </c>
      <c r="D318" s="152" t="s">
        <v>864</v>
      </c>
      <c r="E318" s="97"/>
      <c r="F318" s="94"/>
      <c r="G318" s="94"/>
      <c r="H318" s="94"/>
      <c r="I318" s="94" t="b">
        <f>EXACT(C318,O318)</f>
        <v>1</v>
      </c>
      <c r="J318" s="94" t="b">
        <f>EXACT(D318,P318)</f>
        <v>1</v>
      </c>
      <c r="K318" s="94" t="s">
        <v>1568</v>
      </c>
      <c r="L318" s="94"/>
      <c r="M318" s="160" t="s">
        <v>842</v>
      </c>
      <c r="N318" s="160" t="s">
        <v>854</v>
      </c>
      <c r="O318" s="159" t="s">
        <v>863</v>
      </c>
      <c r="P318" s="195" t="s">
        <v>864</v>
      </c>
      <c r="Q318" s="130"/>
      <c r="R318" s="130"/>
      <c r="S318" s="130"/>
    </row>
    <row r="319" spans="1:19" s="75" customFormat="1" ht="29.15">
      <c r="A319" s="188" t="s">
        <v>842</v>
      </c>
      <c r="B319" s="147" t="s">
        <v>854</v>
      </c>
      <c r="C319" s="144" t="s">
        <v>865</v>
      </c>
      <c r="D319" s="152" t="s">
        <v>866</v>
      </c>
      <c r="E319" s="97"/>
      <c r="F319" s="94"/>
      <c r="G319" s="94"/>
      <c r="H319" s="94"/>
      <c r="I319" s="94" t="b">
        <f>EXACT(C319,O319)</f>
        <v>1</v>
      </c>
      <c r="J319" s="94" t="b">
        <f>EXACT(D319,P319)</f>
        <v>1</v>
      </c>
      <c r="K319" s="94" t="s">
        <v>1568</v>
      </c>
      <c r="L319" s="94"/>
      <c r="M319" s="160" t="s">
        <v>842</v>
      </c>
      <c r="N319" s="160" t="s">
        <v>854</v>
      </c>
      <c r="O319" s="159" t="s">
        <v>865</v>
      </c>
      <c r="P319" s="195" t="s">
        <v>866</v>
      </c>
      <c r="Q319" s="130"/>
      <c r="R319" s="130"/>
      <c r="S319" s="130"/>
    </row>
    <row r="320" spans="1:19" s="75" customFormat="1" ht="37.299999999999997">
      <c r="A320" s="188" t="s">
        <v>842</v>
      </c>
      <c r="B320" s="147" t="s">
        <v>890</v>
      </c>
      <c r="C320" s="144" t="s">
        <v>891</v>
      </c>
      <c r="D320" s="145" t="s">
        <v>892</v>
      </c>
      <c r="E320" s="97"/>
      <c r="F320" s="94"/>
      <c r="G320" s="94"/>
      <c r="H320" s="94"/>
      <c r="I320" s="94" t="b">
        <f>EXACT(C320,O320)</f>
        <v>1</v>
      </c>
      <c r="J320" s="94" t="b">
        <f>EXACT(D320,P320)</f>
        <v>1</v>
      </c>
      <c r="K320" s="94" t="s">
        <v>1568</v>
      </c>
      <c r="L320" s="94"/>
      <c r="M320" s="160" t="s">
        <v>842</v>
      </c>
      <c r="N320" s="160" t="s">
        <v>890</v>
      </c>
      <c r="O320" s="159" t="s">
        <v>891</v>
      </c>
      <c r="P320" s="189" t="s">
        <v>892</v>
      </c>
      <c r="Q320" s="130"/>
      <c r="R320" s="130"/>
      <c r="S320" s="130"/>
    </row>
    <row r="321" spans="1:19" s="75" customFormat="1" ht="43.75">
      <c r="A321" s="188" t="s">
        <v>842</v>
      </c>
      <c r="B321" s="147" t="s">
        <v>854</v>
      </c>
      <c r="C321" s="144" t="s">
        <v>867</v>
      </c>
      <c r="D321" s="152" t="s">
        <v>868</v>
      </c>
      <c r="E321" s="97"/>
      <c r="F321" s="94"/>
      <c r="G321" s="94"/>
      <c r="H321" s="94"/>
      <c r="I321" s="94" t="b">
        <f>EXACT(C321,O321)</f>
        <v>1</v>
      </c>
      <c r="J321" s="94" t="b">
        <f>EXACT(D321,P321)</f>
        <v>1</v>
      </c>
      <c r="K321" s="94" t="s">
        <v>1568</v>
      </c>
      <c r="L321" s="94"/>
      <c r="M321" s="160" t="s">
        <v>842</v>
      </c>
      <c r="N321" s="160" t="s">
        <v>854</v>
      </c>
      <c r="O321" s="159" t="s">
        <v>867</v>
      </c>
      <c r="P321" s="195" t="s">
        <v>868</v>
      </c>
      <c r="Q321" s="130"/>
      <c r="R321" s="130"/>
      <c r="S321" s="130"/>
    </row>
    <row r="322" spans="1:19" s="75" customFormat="1" ht="43.75">
      <c r="A322" s="188" t="s">
        <v>842</v>
      </c>
      <c r="B322" s="147" t="s">
        <v>854</v>
      </c>
      <c r="C322" s="144" t="s">
        <v>869</v>
      </c>
      <c r="D322" s="152" t="s">
        <v>870</v>
      </c>
      <c r="E322" s="97"/>
      <c r="F322" s="94"/>
      <c r="G322" s="94"/>
      <c r="H322" s="94"/>
      <c r="I322" s="94" t="b">
        <f>EXACT(C322,O322)</f>
        <v>1</v>
      </c>
      <c r="J322" s="94" t="b">
        <f>EXACT(D322,P322)</f>
        <v>1</v>
      </c>
      <c r="K322" s="94" t="s">
        <v>1568</v>
      </c>
      <c r="L322" s="94"/>
      <c r="M322" s="160" t="s">
        <v>842</v>
      </c>
      <c r="N322" s="160" t="s">
        <v>854</v>
      </c>
      <c r="O322" s="159" t="s">
        <v>869</v>
      </c>
      <c r="P322" s="195" t="s">
        <v>870</v>
      </c>
      <c r="Q322" s="130"/>
      <c r="R322" s="130"/>
      <c r="S322" s="130"/>
    </row>
    <row r="323" spans="1:19" s="75" customFormat="1" ht="24.9">
      <c r="A323" s="202" t="s">
        <v>911</v>
      </c>
      <c r="B323" s="155" t="s">
        <v>381</v>
      </c>
      <c r="C323" s="155" t="s">
        <v>922</v>
      </c>
      <c r="D323" s="146" t="s">
        <v>923</v>
      </c>
      <c r="E323" s="97"/>
      <c r="F323" s="94"/>
      <c r="G323" s="94"/>
      <c r="H323" s="94"/>
      <c r="I323" s="94" t="b">
        <f>EXACT(C323,O323)</f>
        <v>1</v>
      </c>
      <c r="J323" s="94" t="b">
        <f>EXACT(D323,P323)</f>
        <v>1</v>
      </c>
      <c r="K323" s="94" t="s">
        <v>1568</v>
      </c>
      <c r="L323" s="94"/>
      <c r="M323" s="170" t="s">
        <v>911</v>
      </c>
      <c r="N323" s="170" t="s">
        <v>381</v>
      </c>
      <c r="O323" s="170" t="s">
        <v>922</v>
      </c>
      <c r="P323" s="190" t="s">
        <v>923</v>
      </c>
      <c r="Q323" s="130"/>
      <c r="R323" s="130"/>
      <c r="S323" s="130"/>
    </row>
    <row r="324" spans="1:19" s="75" customFormat="1" ht="136.75">
      <c r="A324" s="196" t="s">
        <v>911</v>
      </c>
      <c r="B324" s="155" t="s">
        <v>381</v>
      </c>
      <c r="C324" s="155" t="s">
        <v>924</v>
      </c>
      <c r="D324" s="145" t="s">
        <v>925</v>
      </c>
      <c r="E324" s="97"/>
      <c r="F324" s="94"/>
      <c r="G324" s="94"/>
      <c r="H324" s="94"/>
      <c r="I324" s="94" t="b">
        <f>EXACT(C324,O324)</f>
        <v>1</v>
      </c>
      <c r="J324" s="94" t="b">
        <f>EXACT(D324,P324)</f>
        <v>1</v>
      </c>
      <c r="K324" s="94" t="s">
        <v>1568</v>
      </c>
      <c r="L324" s="94"/>
      <c r="M324" s="169" t="s">
        <v>911</v>
      </c>
      <c r="N324" s="170" t="s">
        <v>381</v>
      </c>
      <c r="O324" s="170" t="s">
        <v>924</v>
      </c>
      <c r="P324" s="189" t="s">
        <v>925</v>
      </c>
      <c r="Q324" s="130"/>
      <c r="R324" s="130"/>
      <c r="S324" s="130"/>
    </row>
    <row r="325" spans="1:19" s="75" customFormat="1" ht="136.75">
      <c r="A325" s="196" t="s">
        <v>911</v>
      </c>
      <c r="B325" s="155" t="s">
        <v>381</v>
      </c>
      <c r="C325" s="155" t="s">
        <v>926</v>
      </c>
      <c r="D325" s="145" t="s">
        <v>927</v>
      </c>
      <c r="E325" s="97"/>
      <c r="F325" s="94"/>
      <c r="G325" s="94"/>
      <c r="H325" s="94"/>
      <c r="I325" s="94" t="b">
        <f>EXACT(C325,O325)</f>
        <v>1</v>
      </c>
      <c r="J325" s="94" t="b">
        <f>EXACT(D325,P325)</f>
        <v>1</v>
      </c>
      <c r="K325" s="94" t="s">
        <v>1568</v>
      </c>
      <c r="L325" s="94"/>
      <c r="M325" s="169" t="s">
        <v>911</v>
      </c>
      <c r="N325" s="170" t="s">
        <v>381</v>
      </c>
      <c r="O325" s="170" t="s">
        <v>926</v>
      </c>
      <c r="P325" s="189" t="s">
        <v>927</v>
      </c>
      <c r="Q325" s="130"/>
      <c r="R325" s="130"/>
      <c r="S325" s="130"/>
    </row>
    <row r="326" spans="1:19" s="75" customFormat="1" ht="136.75">
      <c r="A326" s="196" t="s">
        <v>911</v>
      </c>
      <c r="B326" s="155" t="s">
        <v>381</v>
      </c>
      <c r="C326" s="155" t="s">
        <v>928</v>
      </c>
      <c r="D326" s="145" t="s">
        <v>929</v>
      </c>
      <c r="E326" s="97"/>
      <c r="F326" s="94"/>
      <c r="G326" s="94"/>
      <c r="H326" s="94"/>
      <c r="I326" s="94" t="b">
        <f>EXACT(C326,O326)</f>
        <v>1</v>
      </c>
      <c r="J326" s="94" t="b">
        <f>EXACT(D326,P326)</f>
        <v>1</v>
      </c>
      <c r="K326" s="94" t="s">
        <v>1568</v>
      </c>
      <c r="L326" s="94"/>
      <c r="M326" s="169" t="s">
        <v>911</v>
      </c>
      <c r="N326" s="170" t="s">
        <v>381</v>
      </c>
      <c r="O326" s="170" t="s">
        <v>928</v>
      </c>
      <c r="P326" s="189" t="s">
        <v>929</v>
      </c>
      <c r="Q326" s="130"/>
      <c r="R326" s="130"/>
      <c r="S326" s="130"/>
    </row>
    <row r="327" spans="1:19" s="75" customFormat="1" ht="136.75">
      <c r="A327" s="196" t="s">
        <v>911</v>
      </c>
      <c r="B327" s="155" t="s">
        <v>381</v>
      </c>
      <c r="C327" s="155" t="s">
        <v>930</v>
      </c>
      <c r="D327" s="145" t="s">
        <v>931</v>
      </c>
      <c r="E327" s="97"/>
      <c r="F327" s="94"/>
      <c r="G327" s="94"/>
      <c r="H327" s="94"/>
      <c r="I327" s="94" t="b">
        <f>EXACT(C327,O327)</f>
        <v>1</v>
      </c>
      <c r="J327" s="94" t="b">
        <f>EXACT(D327,P327)</f>
        <v>1</v>
      </c>
      <c r="K327" s="94" t="s">
        <v>1568</v>
      </c>
      <c r="L327" s="94"/>
      <c r="M327" s="169" t="s">
        <v>911</v>
      </c>
      <c r="N327" s="170" t="s">
        <v>381</v>
      </c>
      <c r="O327" s="170" t="s">
        <v>930</v>
      </c>
      <c r="P327" s="189" t="s">
        <v>931</v>
      </c>
      <c r="Q327" s="130"/>
      <c r="R327" s="130"/>
      <c r="S327" s="130"/>
    </row>
    <row r="328" spans="1:19" s="75" customFormat="1" ht="136.75">
      <c r="A328" s="196" t="s">
        <v>911</v>
      </c>
      <c r="B328" s="155" t="s">
        <v>381</v>
      </c>
      <c r="C328" s="155" t="s">
        <v>932</v>
      </c>
      <c r="D328" s="145" t="s">
        <v>933</v>
      </c>
      <c r="E328" s="97"/>
      <c r="F328" s="94"/>
      <c r="G328" s="94"/>
      <c r="H328" s="94"/>
      <c r="I328" s="94" t="b">
        <f>EXACT(C328,O328)</f>
        <v>1</v>
      </c>
      <c r="J328" s="94" t="b">
        <f>EXACT(D328,P328)</f>
        <v>1</v>
      </c>
      <c r="K328" s="94" t="s">
        <v>1568</v>
      </c>
      <c r="L328" s="94"/>
      <c r="M328" s="169" t="s">
        <v>911</v>
      </c>
      <c r="N328" s="170" t="s">
        <v>381</v>
      </c>
      <c r="O328" s="170" t="s">
        <v>932</v>
      </c>
      <c r="P328" s="189" t="s">
        <v>933</v>
      </c>
      <c r="Q328" s="130"/>
      <c r="R328" s="130"/>
      <c r="S328" s="130"/>
    </row>
    <row r="329" spans="1:19" s="75" customFormat="1" ht="136.75">
      <c r="A329" s="196" t="s">
        <v>911</v>
      </c>
      <c r="B329" s="155" t="s">
        <v>381</v>
      </c>
      <c r="C329" s="155" t="s">
        <v>934</v>
      </c>
      <c r="D329" s="145" t="s">
        <v>935</v>
      </c>
      <c r="E329" s="97"/>
      <c r="F329" s="94"/>
      <c r="G329" s="94"/>
      <c r="H329" s="94"/>
      <c r="I329" s="94" t="b">
        <f>EXACT(C329,O329)</f>
        <v>1</v>
      </c>
      <c r="J329" s="94" t="b">
        <f>EXACT(D329,P329)</f>
        <v>1</v>
      </c>
      <c r="K329" s="94" t="s">
        <v>1568</v>
      </c>
      <c r="L329" s="94"/>
      <c r="M329" s="169" t="s">
        <v>911</v>
      </c>
      <c r="N329" s="170" t="s">
        <v>381</v>
      </c>
      <c r="O329" s="170" t="s">
        <v>934</v>
      </c>
      <c r="P329" s="189" t="s">
        <v>935</v>
      </c>
      <c r="Q329" s="130"/>
      <c r="R329" s="130"/>
      <c r="S329" s="130"/>
    </row>
    <row r="330" spans="1:19" s="75" customFormat="1" ht="136.75">
      <c r="A330" s="196" t="s">
        <v>911</v>
      </c>
      <c r="B330" s="155" t="s">
        <v>381</v>
      </c>
      <c r="C330" s="155" t="s">
        <v>936</v>
      </c>
      <c r="D330" s="145" t="s">
        <v>937</v>
      </c>
      <c r="E330" s="97"/>
      <c r="F330" s="94"/>
      <c r="G330" s="94"/>
      <c r="H330" s="94"/>
      <c r="I330" s="94" t="b">
        <f>EXACT(C330,O330)</f>
        <v>1</v>
      </c>
      <c r="J330" s="94" t="b">
        <f>EXACT(D330,P330)</f>
        <v>1</v>
      </c>
      <c r="K330" s="94" t="s">
        <v>1568</v>
      </c>
      <c r="L330" s="94"/>
      <c r="M330" s="169" t="s">
        <v>911</v>
      </c>
      <c r="N330" s="170" t="s">
        <v>381</v>
      </c>
      <c r="O330" s="170" t="s">
        <v>936</v>
      </c>
      <c r="P330" s="189" t="s">
        <v>937</v>
      </c>
      <c r="Q330" s="130"/>
      <c r="R330" s="130"/>
      <c r="S330" s="130"/>
    </row>
    <row r="331" spans="1:19" s="75" customFormat="1" ht="136.75">
      <c r="A331" s="196" t="s">
        <v>911</v>
      </c>
      <c r="B331" s="155" t="s">
        <v>381</v>
      </c>
      <c r="C331" s="155" t="s">
        <v>938</v>
      </c>
      <c r="D331" s="145" t="s">
        <v>939</v>
      </c>
      <c r="E331" s="97"/>
      <c r="F331" s="94"/>
      <c r="G331" s="94"/>
      <c r="H331" s="94"/>
      <c r="I331" s="94" t="b">
        <f>EXACT(C331,O331)</f>
        <v>1</v>
      </c>
      <c r="J331" s="94" t="b">
        <f>EXACT(D331,P331)</f>
        <v>1</v>
      </c>
      <c r="K331" s="94" t="s">
        <v>1568</v>
      </c>
      <c r="L331" s="94"/>
      <c r="M331" s="169" t="s">
        <v>911</v>
      </c>
      <c r="N331" s="170" t="s">
        <v>381</v>
      </c>
      <c r="O331" s="170" t="s">
        <v>938</v>
      </c>
      <c r="P331" s="189" t="s">
        <v>939</v>
      </c>
      <c r="Q331" s="130"/>
      <c r="R331" s="130"/>
      <c r="S331" s="130"/>
    </row>
    <row r="332" spans="1:19" s="75" customFormat="1" ht="136.75">
      <c r="A332" s="196" t="s">
        <v>911</v>
      </c>
      <c r="B332" s="155" t="s">
        <v>381</v>
      </c>
      <c r="C332" s="155" t="s">
        <v>940</v>
      </c>
      <c r="D332" s="145" t="s">
        <v>941</v>
      </c>
      <c r="E332" s="97"/>
      <c r="F332" s="94"/>
      <c r="G332" s="94"/>
      <c r="H332" s="94"/>
      <c r="I332" s="94" t="b">
        <f>EXACT(C332,O332)</f>
        <v>1</v>
      </c>
      <c r="J332" s="94" t="b">
        <f>EXACT(D332,P332)</f>
        <v>1</v>
      </c>
      <c r="K332" s="94" t="s">
        <v>1568</v>
      </c>
      <c r="L332" s="94"/>
      <c r="M332" s="169" t="s">
        <v>911</v>
      </c>
      <c r="N332" s="170" t="s">
        <v>381</v>
      </c>
      <c r="O332" s="170" t="s">
        <v>940</v>
      </c>
      <c r="P332" s="189" t="s">
        <v>941</v>
      </c>
      <c r="Q332" s="130"/>
      <c r="R332" s="130"/>
      <c r="S332" s="130"/>
    </row>
    <row r="333" spans="1:19" s="75" customFormat="1" ht="136.75">
      <c r="A333" s="196" t="s">
        <v>911</v>
      </c>
      <c r="B333" s="155" t="s">
        <v>381</v>
      </c>
      <c r="C333" s="155" t="s">
        <v>942</v>
      </c>
      <c r="D333" s="145" t="s">
        <v>943</v>
      </c>
      <c r="E333" s="97"/>
      <c r="F333" s="94"/>
      <c r="G333" s="94"/>
      <c r="H333" s="94"/>
      <c r="I333" s="94" t="b">
        <f>EXACT(C333,O333)</f>
        <v>1</v>
      </c>
      <c r="J333" s="94" t="b">
        <f>EXACT(D333,P333)</f>
        <v>1</v>
      </c>
      <c r="K333" s="94" t="s">
        <v>1568</v>
      </c>
      <c r="L333" s="94"/>
      <c r="M333" s="169" t="s">
        <v>911</v>
      </c>
      <c r="N333" s="170" t="s">
        <v>381</v>
      </c>
      <c r="O333" s="170" t="s">
        <v>942</v>
      </c>
      <c r="P333" s="189" t="s">
        <v>943</v>
      </c>
      <c r="Q333" s="130"/>
      <c r="R333" s="130"/>
      <c r="S333" s="130"/>
    </row>
    <row r="334" spans="1:19" s="75" customFormat="1" ht="24.9">
      <c r="A334" s="188" t="s">
        <v>911</v>
      </c>
      <c r="B334" s="153" t="s">
        <v>318</v>
      </c>
      <c r="C334" s="155" t="s">
        <v>912</v>
      </c>
      <c r="D334" s="145" t="s">
        <v>913</v>
      </c>
      <c r="E334" s="97"/>
      <c r="F334" s="94"/>
      <c r="G334" s="94"/>
      <c r="H334" s="94"/>
      <c r="I334" s="94" t="b">
        <f>EXACT(C334,O334)</f>
        <v>1</v>
      </c>
      <c r="J334" s="94" t="b">
        <f>EXACT(D334,P334)</f>
        <v>1</v>
      </c>
      <c r="K334" s="94" t="s">
        <v>1568</v>
      </c>
      <c r="L334" s="94"/>
      <c r="M334" s="160" t="s">
        <v>911</v>
      </c>
      <c r="N334" s="169" t="s">
        <v>318</v>
      </c>
      <c r="O334" s="170" t="s">
        <v>912</v>
      </c>
      <c r="P334" s="189" t="s">
        <v>913</v>
      </c>
      <c r="Q334" s="130"/>
      <c r="R334" s="130"/>
      <c r="S334" s="130"/>
    </row>
    <row r="335" spans="1:19" s="75" customFormat="1" ht="136.75">
      <c r="A335" s="196" t="s">
        <v>911</v>
      </c>
      <c r="B335" s="155" t="s">
        <v>381</v>
      </c>
      <c r="C335" s="155" t="s">
        <v>944</v>
      </c>
      <c r="D335" s="145" t="s">
        <v>945</v>
      </c>
      <c r="E335" s="97"/>
      <c r="F335" s="94"/>
      <c r="G335" s="94"/>
      <c r="H335" s="94"/>
      <c r="I335" s="94" t="b">
        <f>EXACT(C335,O335)</f>
        <v>1</v>
      </c>
      <c r="J335" s="94" t="b">
        <f>EXACT(D335,P335)</f>
        <v>1</v>
      </c>
      <c r="K335" s="94" t="s">
        <v>1568</v>
      </c>
      <c r="L335" s="94"/>
      <c r="M335" s="169" t="s">
        <v>911</v>
      </c>
      <c r="N335" s="170" t="s">
        <v>381</v>
      </c>
      <c r="O335" s="170" t="s">
        <v>944</v>
      </c>
      <c r="P335" s="189" t="s">
        <v>945</v>
      </c>
      <c r="Q335" s="130"/>
      <c r="R335" s="130"/>
      <c r="S335" s="130"/>
    </row>
    <row r="336" spans="1:19" s="75" customFormat="1" ht="136.75">
      <c r="A336" s="196" t="s">
        <v>911</v>
      </c>
      <c r="B336" s="155" t="s">
        <v>381</v>
      </c>
      <c r="C336" s="155" t="s">
        <v>946</v>
      </c>
      <c r="D336" s="145" t="s">
        <v>947</v>
      </c>
      <c r="E336" s="97"/>
      <c r="F336" s="94"/>
      <c r="G336" s="94"/>
      <c r="H336" s="94"/>
      <c r="I336" s="94" t="b">
        <f>EXACT(C336,O336)</f>
        <v>1</v>
      </c>
      <c r="J336" s="94" t="b">
        <f>EXACT(D336,P336)</f>
        <v>1</v>
      </c>
      <c r="K336" s="94" t="s">
        <v>1568</v>
      </c>
      <c r="L336" s="94"/>
      <c r="M336" s="169" t="s">
        <v>911</v>
      </c>
      <c r="N336" s="170" t="s">
        <v>381</v>
      </c>
      <c r="O336" s="170" t="s">
        <v>946</v>
      </c>
      <c r="P336" s="189" t="s">
        <v>947</v>
      </c>
      <c r="Q336" s="130"/>
      <c r="R336" s="130"/>
      <c r="S336" s="130"/>
    </row>
    <row r="337" spans="1:19" s="75" customFormat="1" ht="24.9">
      <c r="A337" s="202" t="s">
        <v>911</v>
      </c>
      <c r="B337" s="155" t="s">
        <v>381</v>
      </c>
      <c r="C337" s="155" t="s">
        <v>948</v>
      </c>
      <c r="D337" s="146" t="s">
        <v>949</v>
      </c>
      <c r="E337" s="97"/>
      <c r="F337" s="94"/>
      <c r="G337" s="94"/>
      <c r="H337" s="94"/>
      <c r="I337" s="94" t="b">
        <f>EXACT(C337,O337)</f>
        <v>1</v>
      </c>
      <c r="J337" s="94" t="b">
        <f>EXACT(D337,P337)</f>
        <v>1</v>
      </c>
      <c r="K337" s="94" t="s">
        <v>1568</v>
      </c>
      <c r="L337" s="94"/>
      <c r="M337" s="170" t="s">
        <v>911</v>
      </c>
      <c r="N337" s="170" t="s">
        <v>381</v>
      </c>
      <c r="O337" s="170" t="s">
        <v>948</v>
      </c>
      <c r="P337" s="190" t="s">
        <v>949</v>
      </c>
      <c r="Q337" s="130"/>
      <c r="R337" s="130"/>
      <c r="S337" s="130"/>
    </row>
    <row r="338" spans="1:19" s="75" customFormat="1" ht="14.6">
      <c r="A338" s="196" t="s">
        <v>911</v>
      </c>
      <c r="B338" s="153" t="s">
        <v>318</v>
      </c>
      <c r="C338" s="155" t="s">
        <v>914</v>
      </c>
      <c r="D338" s="154" t="s">
        <v>915</v>
      </c>
      <c r="E338" s="97"/>
      <c r="F338" s="94"/>
      <c r="G338" s="94"/>
      <c r="H338" s="94"/>
      <c r="I338" s="94" t="b">
        <f>EXACT(C338,O338)</f>
        <v>1</v>
      </c>
      <c r="J338" s="94" t="b">
        <f>EXACT(D338,P338)</f>
        <v>1</v>
      </c>
      <c r="K338" s="94" t="s">
        <v>1568</v>
      </c>
      <c r="L338" s="94"/>
      <c r="M338" s="169" t="s">
        <v>911</v>
      </c>
      <c r="N338" s="169" t="s">
        <v>318</v>
      </c>
      <c r="O338" s="170" t="s">
        <v>914</v>
      </c>
      <c r="P338" s="203" t="s">
        <v>915</v>
      </c>
      <c r="Q338" s="130"/>
      <c r="R338" s="130"/>
      <c r="S338" s="130"/>
    </row>
    <row r="339" spans="1:19" s="75" customFormat="1" ht="14.6">
      <c r="A339" s="196" t="s">
        <v>911</v>
      </c>
      <c r="B339" s="153" t="s">
        <v>318</v>
      </c>
      <c r="C339" s="155" t="s">
        <v>916</v>
      </c>
      <c r="D339" s="154" t="s">
        <v>917</v>
      </c>
      <c r="E339" s="97"/>
      <c r="F339" s="94"/>
      <c r="G339" s="94"/>
      <c r="H339" s="94"/>
      <c r="I339" s="94" t="b">
        <f>EXACT(C339,O339)</f>
        <v>1</v>
      </c>
      <c r="J339" s="94" t="b">
        <f>EXACT(D339,P339)</f>
        <v>1</v>
      </c>
      <c r="K339" s="94" t="s">
        <v>1568</v>
      </c>
      <c r="L339" s="94"/>
      <c r="M339" s="169" t="s">
        <v>911</v>
      </c>
      <c r="N339" s="169" t="s">
        <v>318</v>
      </c>
      <c r="O339" s="170" t="s">
        <v>916</v>
      </c>
      <c r="P339" s="203" t="s">
        <v>917</v>
      </c>
      <c r="Q339" s="130"/>
      <c r="R339" s="130"/>
      <c r="S339" s="130"/>
    </row>
    <row r="340" spans="1:19" s="75" customFormat="1" ht="14.6">
      <c r="A340" s="188" t="s">
        <v>911</v>
      </c>
      <c r="B340" s="153" t="s">
        <v>318</v>
      </c>
      <c r="C340" s="155" t="s">
        <v>918</v>
      </c>
      <c r="D340" s="145" t="s">
        <v>919</v>
      </c>
      <c r="E340" s="41"/>
      <c r="F340" s="93"/>
      <c r="G340" s="41"/>
      <c r="H340" s="76"/>
      <c r="I340" s="94" t="b">
        <f>EXACT(C340,O340)</f>
        <v>1</v>
      </c>
      <c r="J340" s="94" t="b">
        <f>EXACT(D340,P340)</f>
        <v>1</v>
      </c>
      <c r="K340" s="94" t="s">
        <v>1568</v>
      </c>
      <c r="L340" s="94"/>
      <c r="M340" s="160" t="s">
        <v>911</v>
      </c>
      <c r="N340" s="169" t="s">
        <v>318</v>
      </c>
      <c r="O340" s="170" t="s">
        <v>918</v>
      </c>
      <c r="P340" s="189" t="s">
        <v>919</v>
      </c>
      <c r="Q340" s="130"/>
      <c r="R340" s="130"/>
      <c r="S340" s="130"/>
    </row>
    <row r="341" spans="1:19" s="75" customFormat="1" ht="14.6">
      <c r="A341" s="188" t="s">
        <v>911</v>
      </c>
      <c r="B341" s="153" t="s">
        <v>318</v>
      </c>
      <c r="C341" s="155" t="s">
        <v>920</v>
      </c>
      <c r="D341" s="145" t="s">
        <v>921</v>
      </c>
      <c r="E341" s="41"/>
      <c r="F341" s="93"/>
      <c r="G341" s="41"/>
      <c r="H341" s="76"/>
      <c r="I341" s="94" t="b">
        <f>EXACT(C341,O341)</f>
        <v>1</v>
      </c>
      <c r="J341" s="94" t="b">
        <f>EXACT(D341,P341)</f>
        <v>1</v>
      </c>
      <c r="K341" s="94" t="s">
        <v>1568</v>
      </c>
      <c r="L341" s="94"/>
      <c r="M341" s="160" t="s">
        <v>911</v>
      </c>
      <c r="N341" s="169" t="s">
        <v>318</v>
      </c>
      <c r="O341" s="170" t="s">
        <v>920</v>
      </c>
      <c r="P341" s="189" t="s">
        <v>921</v>
      </c>
      <c r="Q341" s="131"/>
      <c r="R341" s="131"/>
      <c r="S341" s="131"/>
    </row>
    <row r="342" spans="1:19" s="75" customFormat="1" ht="136.75">
      <c r="A342" s="196" t="s">
        <v>911</v>
      </c>
      <c r="B342" s="155" t="s">
        <v>381</v>
      </c>
      <c r="C342" s="155" t="s">
        <v>950</v>
      </c>
      <c r="D342" s="145" t="s">
        <v>951</v>
      </c>
      <c r="E342" s="97"/>
      <c r="F342" s="94"/>
      <c r="G342" s="94"/>
      <c r="H342" s="94"/>
      <c r="I342" s="94" t="b">
        <f>EXACT(C342,O342)</f>
        <v>1</v>
      </c>
      <c r="J342" s="94" t="b">
        <f>EXACT(D342,P342)</f>
        <v>1</v>
      </c>
      <c r="K342" s="94" t="s">
        <v>1568</v>
      </c>
      <c r="L342" s="94"/>
      <c r="M342" s="169" t="s">
        <v>911</v>
      </c>
      <c r="N342" s="170" t="s">
        <v>381</v>
      </c>
      <c r="O342" s="170" t="s">
        <v>950</v>
      </c>
      <c r="P342" s="189" t="s">
        <v>951</v>
      </c>
      <c r="Q342" s="130"/>
      <c r="R342" s="130"/>
      <c r="S342" s="130"/>
    </row>
    <row r="343" spans="1:19" s="75" customFormat="1" ht="136.75">
      <c r="A343" s="196" t="s">
        <v>911</v>
      </c>
      <c r="B343" s="155" t="s">
        <v>381</v>
      </c>
      <c r="C343" s="155" t="s">
        <v>952</v>
      </c>
      <c r="D343" s="145" t="s">
        <v>953</v>
      </c>
      <c r="E343" s="97"/>
      <c r="F343" s="94"/>
      <c r="G343" s="94"/>
      <c r="H343" s="94"/>
      <c r="I343" s="94" t="b">
        <f>EXACT(C343,O343)</f>
        <v>1</v>
      </c>
      <c r="J343" s="94" t="b">
        <f>EXACT(D343,P343)</f>
        <v>1</v>
      </c>
      <c r="K343" s="94" t="s">
        <v>1568</v>
      </c>
      <c r="L343" s="94"/>
      <c r="M343" s="169" t="s">
        <v>911</v>
      </c>
      <c r="N343" s="170" t="s">
        <v>381</v>
      </c>
      <c r="O343" s="170" t="s">
        <v>952</v>
      </c>
      <c r="P343" s="189" t="s">
        <v>953</v>
      </c>
      <c r="Q343" s="130"/>
      <c r="R343" s="130"/>
      <c r="S343" s="130"/>
    </row>
    <row r="344" spans="1:19" s="75" customFormat="1" ht="136.75">
      <c r="A344" s="196" t="s">
        <v>911</v>
      </c>
      <c r="B344" s="155" t="s">
        <v>381</v>
      </c>
      <c r="C344" s="155" t="s">
        <v>954</v>
      </c>
      <c r="D344" s="145" t="s">
        <v>955</v>
      </c>
      <c r="E344" s="97"/>
      <c r="F344" s="94"/>
      <c r="G344" s="94"/>
      <c r="H344" s="94"/>
      <c r="I344" s="94" t="b">
        <f>EXACT(C344,O344)</f>
        <v>1</v>
      </c>
      <c r="J344" s="94" t="b">
        <f>EXACT(D344,P344)</f>
        <v>1</v>
      </c>
      <c r="K344" s="94" t="s">
        <v>1568</v>
      </c>
      <c r="L344" s="94"/>
      <c r="M344" s="169" t="s">
        <v>911</v>
      </c>
      <c r="N344" s="170" t="s">
        <v>381</v>
      </c>
      <c r="O344" s="170" t="s">
        <v>954</v>
      </c>
      <c r="P344" s="189" t="s">
        <v>955</v>
      </c>
      <c r="Q344" s="130"/>
      <c r="R344" s="130"/>
      <c r="S344" s="130"/>
    </row>
    <row r="345" spans="1:19" s="75" customFormat="1" ht="136.75">
      <c r="A345" s="196" t="s">
        <v>911</v>
      </c>
      <c r="B345" s="155" t="s">
        <v>381</v>
      </c>
      <c r="C345" s="155" t="s">
        <v>956</v>
      </c>
      <c r="D345" s="145" t="s">
        <v>957</v>
      </c>
      <c r="E345" s="97"/>
      <c r="F345" s="94"/>
      <c r="G345" s="94"/>
      <c r="H345" s="94"/>
      <c r="I345" s="94" t="b">
        <f>EXACT(C345,O345)</f>
        <v>1</v>
      </c>
      <c r="J345" s="94" t="b">
        <f>EXACT(D345,P345)</f>
        <v>1</v>
      </c>
      <c r="K345" s="94" t="s">
        <v>1568</v>
      </c>
      <c r="L345" s="94"/>
      <c r="M345" s="169" t="s">
        <v>911</v>
      </c>
      <c r="N345" s="170" t="s">
        <v>381</v>
      </c>
      <c r="O345" s="170" t="s">
        <v>956</v>
      </c>
      <c r="P345" s="189" t="s">
        <v>957</v>
      </c>
      <c r="Q345" s="130"/>
      <c r="R345" s="130"/>
      <c r="S345" s="130"/>
    </row>
    <row r="346" spans="1:19" s="75" customFormat="1" ht="24.9">
      <c r="A346" s="188" t="s">
        <v>958</v>
      </c>
      <c r="B346" s="147" t="s">
        <v>1048</v>
      </c>
      <c r="C346" s="144" t="s">
        <v>1049</v>
      </c>
      <c r="D346" s="145" t="s">
        <v>1050</v>
      </c>
      <c r="E346" s="97" t="s">
        <v>331</v>
      </c>
      <c r="F346" s="94"/>
      <c r="G346" s="94"/>
      <c r="H346" s="94"/>
      <c r="I346" s="94" t="b">
        <f>EXACT(C346,O346)</f>
        <v>1</v>
      </c>
      <c r="J346" s="94" t="b">
        <f>EXACT(D346,P346)</f>
        <v>1</v>
      </c>
      <c r="K346" s="94" t="s">
        <v>1568</v>
      </c>
      <c r="L346" s="94"/>
      <c r="M346" s="160" t="s">
        <v>958</v>
      </c>
      <c r="N346" s="160" t="s">
        <v>1048</v>
      </c>
      <c r="O346" s="159" t="s">
        <v>1049</v>
      </c>
      <c r="P346" s="189" t="s">
        <v>1050</v>
      </c>
      <c r="Q346" s="130"/>
      <c r="R346" s="130"/>
      <c r="S346" s="130"/>
    </row>
    <row r="347" spans="1:19" s="75" customFormat="1" ht="99.45">
      <c r="A347" s="188" t="s">
        <v>958</v>
      </c>
      <c r="B347" s="147" t="s">
        <v>989</v>
      </c>
      <c r="C347" s="144" t="s">
        <v>998</v>
      </c>
      <c r="D347" s="145" t="s">
        <v>999</v>
      </c>
      <c r="E347" s="97"/>
      <c r="F347" s="94"/>
      <c r="G347" s="94"/>
      <c r="H347" s="94"/>
      <c r="I347" s="94" t="b">
        <f>EXACT(C347,O347)</f>
        <v>1</v>
      </c>
      <c r="J347" s="94" t="b">
        <f>EXACT(D347,P347)</f>
        <v>1</v>
      </c>
      <c r="K347" s="94" t="s">
        <v>1568</v>
      </c>
      <c r="L347" s="94"/>
      <c r="M347" s="160" t="s">
        <v>958</v>
      </c>
      <c r="N347" s="160" t="s">
        <v>1511</v>
      </c>
      <c r="O347" s="159" t="s">
        <v>998</v>
      </c>
      <c r="P347" s="189" t="s">
        <v>999</v>
      </c>
      <c r="Q347" s="130"/>
      <c r="R347" s="130"/>
      <c r="S347" s="130"/>
    </row>
    <row r="348" spans="1:19" s="75" customFormat="1" ht="99.45">
      <c r="A348" s="188" t="s">
        <v>958</v>
      </c>
      <c r="B348" s="147" t="s">
        <v>989</v>
      </c>
      <c r="C348" s="144" t="s">
        <v>1000</v>
      </c>
      <c r="D348" s="145" t="s">
        <v>1001</v>
      </c>
      <c r="E348" s="97"/>
      <c r="F348" s="94"/>
      <c r="G348" s="94"/>
      <c r="H348" s="94"/>
      <c r="I348" s="94" t="b">
        <f>EXACT(C348,O348)</f>
        <v>1</v>
      </c>
      <c r="J348" s="94" t="b">
        <f>EXACT(D348,P348)</f>
        <v>1</v>
      </c>
      <c r="K348" s="94" t="s">
        <v>1568</v>
      </c>
      <c r="L348" s="94"/>
      <c r="M348" s="160" t="s">
        <v>958</v>
      </c>
      <c r="N348" s="160" t="s">
        <v>1511</v>
      </c>
      <c r="O348" s="159" t="s">
        <v>1000</v>
      </c>
      <c r="P348" s="189" t="s">
        <v>1001</v>
      </c>
      <c r="Q348" s="130"/>
      <c r="R348" s="130"/>
      <c r="S348" s="130"/>
    </row>
    <row r="349" spans="1:19" s="75" customFormat="1" ht="99.45">
      <c r="A349" s="188" t="s">
        <v>958</v>
      </c>
      <c r="B349" s="147" t="s">
        <v>989</v>
      </c>
      <c r="C349" s="144" t="s">
        <v>1002</v>
      </c>
      <c r="D349" s="145" t="s">
        <v>1003</v>
      </c>
      <c r="E349" s="97"/>
      <c r="F349" s="94"/>
      <c r="G349" s="94"/>
      <c r="H349" s="94"/>
      <c r="I349" s="94" t="b">
        <f>EXACT(C349,O349)</f>
        <v>1</v>
      </c>
      <c r="J349" s="94" t="b">
        <f>EXACT(D349,P349)</f>
        <v>1</v>
      </c>
      <c r="K349" s="94" t="s">
        <v>1568</v>
      </c>
      <c r="L349" s="94"/>
      <c r="M349" s="160" t="s">
        <v>958</v>
      </c>
      <c r="N349" s="160" t="s">
        <v>1511</v>
      </c>
      <c r="O349" s="159" t="s">
        <v>1002</v>
      </c>
      <c r="P349" s="189" t="s">
        <v>1003</v>
      </c>
      <c r="Q349" s="130"/>
      <c r="R349" s="130"/>
      <c r="S349" s="130"/>
    </row>
    <row r="350" spans="1:19" s="75" customFormat="1" ht="99.45">
      <c r="A350" s="188" t="s">
        <v>958</v>
      </c>
      <c r="B350" s="147" t="s">
        <v>989</v>
      </c>
      <c r="C350" s="144" t="s">
        <v>1004</v>
      </c>
      <c r="D350" s="145" t="s">
        <v>1005</v>
      </c>
      <c r="E350" s="97"/>
      <c r="F350" s="94"/>
      <c r="G350" s="94"/>
      <c r="H350" s="94"/>
      <c r="I350" s="94" t="b">
        <f>EXACT(C350,O350)</f>
        <v>1</v>
      </c>
      <c r="J350" s="94" t="b">
        <f>EXACT(D350,P350)</f>
        <v>1</v>
      </c>
      <c r="K350" s="94" t="s">
        <v>1568</v>
      </c>
      <c r="L350" s="94"/>
      <c r="M350" s="160" t="s">
        <v>958</v>
      </c>
      <c r="N350" s="160" t="s">
        <v>1511</v>
      </c>
      <c r="O350" s="159" t="s">
        <v>1004</v>
      </c>
      <c r="P350" s="189" t="s">
        <v>1005</v>
      </c>
      <c r="Q350" s="130"/>
      <c r="R350" s="130"/>
      <c r="S350" s="130"/>
    </row>
    <row r="351" spans="1:19" s="75" customFormat="1" ht="62.15">
      <c r="A351" s="188" t="s">
        <v>958</v>
      </c>
      <c r="B351" s="147" t="s">
        <v>989</v>
      </c>
      <c r="C351" s="144" t="s">
        <v>1006</v>
      </c>
      <c r="D351" s="145" t="s">
        <v>1007</v>
      </c>
      <c r="E351" s="97"/>
      <c r="F351" s="94"/>
      <c r="G351" s="94"/>
      <c r="H351" s="94"/>
      <c r="I351" s="94" t="b">
        <f>EXACT(C351,O351)</f>
        <v>1</v>
      </c>
      <c r="J351" s="94" t="b">
        <f>EXACT(D351,P351)</f>
        <v>1</v>
      </c>
      <c r="K351" s="94" t="s">
        <v>1568</v>
      </c>
      <c r="L351" s="94"/>
      <c r="M351" s="160" t="s">
        <v>958</v>
      </c>
      <c r="N351" s="160" t="s">
        <v>1511</v>
      </c>
      <c r="O351" s="159" t="s">
        <v>1006</v>
      </c>
      <c r="P351" s="189" t="s">
        <v>1007</v>
      </c>
      <c r="Q351" s="130"/>
      <c r="R351" s="130"/>
      <c r="S351" s="130"/>
    </row>
    <row r="352" spans="1:19" s="75" customFormat="1" ht="62.15">
      <c r="A352" s="188" t="s">
        <v>958</v>
      </c>
      <c r="B352" s="147" t="s">
        <v>989</v>
      </c>
      <c r="C352" s="144" t="s">
        <v>1008</v>
      </c>
      <c r="D352" s="145" t="s">
        <v>1009</v>
      </c>
      <c r="E352" s="97"/>
      <c r="F352" s="94"/>
      <c r="G352" s="94"/>
      <c r="H352" s="94"/>
      <c r="I352" s="94" t="b">
        <f>EXACT(C352,O352)</f>
        <v>1</v>
      </c>
      <c r="J352" s="94" t="b">
        <f>EXACT(D352,P352)</f>
        <v>1</v>
      </c>
      <c r="K352" s="94" t="s">
        <v>1568</v>
      </c>
      <c r="L352" s="94"/>
      <c r="M352" s="160" t="s">
        <v>958</v>
      </c>
      <c r="N352" s="160" t="s">
        <v>1511</v>
      </c>
      <c r="O352" s="159" t="s">
        <v>1008</v>
      </c>
      <c r="P352" s="189" t="s">
        <v>1009</v>
      </c>
      <c r="Q352" s="130"/>
      <c r="R352" s="130"/>
      <c r="S352" s="130"/>
    </row>
    <row r="353" spans="1:19" s="75" customFormat="1" ht="62.15">
      <c r="A353" s="188" t="s">
        <v>958</v>
      </c>
      <c r="B353" s="147" t="s">
        <v>989</v>
      </c>
      <c r="C353" s="144" t="s">
        <v>1010</v>
      </c>
      <c r="D353" s="145" t="s">
        <v>1011</v>
      </c>
      <c r="E353" s="97"/>
      <c r="F353" s="94"/>
      <c r="G353" s="94"/>
      <c r="H353" s="94"/>
      <c r="I353" s="94" t="b">
        <f>EXACT(C353,O353)</f>
        <v>1</v>
      </c>
      <c r="J353" s="94" t="b">
        <f>EXACT(D353,P353)</f>
        <v>1</v>
      </c>
      <c r="K353" s="94" t="s">
        <v>1568</v>
      </c>
      <c r="L353" s="94"/>
      <c r="M353" s="160" t="s">
        <v>958</v>
      </c>
      <c r="N353" s="160" t="s">
        <v>1511</v>
      </c>
      <c r="O353" s="159" t="s">
        <v>1010</v>
      </c>
      <c r="P353" s="189" t="s">
        <v>1011</v>
      </c>
      <c r="Q353" s="130"/>
      <c r="R353" s="130"/>
      <c r="S353" s="130"/>
    </row>
    <row r="354" spans="1:19" s="75" customFormat="1" ht="62.15">
      <c r="A354" s="188" t="s">
        <v>958</v>
      </c>
      <c r="B354" s="147" t="s">
        <v>989</v>
      </c>
      <c r="C354" s="144" t="s">
        <v>1012</v>
      </c>
      <c r="D354" s="145" t="s">
        <v>1013</v>
      </c>
      <c r="E354" s="97"/>
      <c r="F354" s="94"/>
      <c r="G354" s="94"/>
      <c r="H354" s="94"/>
      <c r="I354" s="94" t="b">
        <f>EXACT(C354,O354)</f>
        <v>1</v>
      </c>
      <c r="J354" s="94" t="b">
        <f>EXACT(D354,P354)</f>
        <v>1</v>
      </c>
      <c r="K354" s="94" t="s">
        <v>1568</v>
      </c>
      <c r="L354" s="94"/>
      <c r="M354" s="160" t="s">
        <v>958</v>
      </c>
      <c r="N354" s="160" t="s">
        <v>1511</v>
      </c>
      <c r="O354" s="159" t="s">
        <v>1012</v>
      </c>
      <c r="P354" s="189" t="s">
        <v>1013</v>
      </c>
      <c r="Q354" s="130"/>
      <c r="R354" s="130"/>
      <c r="S354" s="130"/>
    </row>
    <row r="355" spans="1:19" s="75" customFormat="1" ht="62.15">
      <c r="A355" s="188" t="s">
        <v>958</v>
      </c>
      <c r="B355" s="147" t="s">
        <v>989</v>
      </c>
      <c r="C355" s="144" t="s">
        <v>1014</v>
      </c>
      <c r="D355" s="145" t="s">
        <v>1015</v>
      </c>
      <c r="E355" s="97"/>
      <c r="F355" s="94"/>
      <c r="G355" s="94"/>
      <c r="H355" s="94"/>
      <c r="I355" s="94" t="b">
        <f>EXACT(C355,O355)</f>
        <v>1</v>
      </c>
      <c r="J355" s="94" t="b">
        <f>EXACT(D355,P355)</f>
        <v>1</v>
      </c>
      <c r="K355" s="94" t="s">
        <v>1568</v>
      </c>
      <c r="L355" s="94"/>
      <c r="M355" s="160" t="s">
        <v>958</v>
      </c>
      <c r="N355" s="160" t="s">
        <v>1511</v>
      </c>
      <c r="O355" s="159" t="s">
        <v>1014</v>
      </c>
      <c r="P355" s="189" t="s">
        <v>1015</v>
      </c>
      <c r="Q355" s="130"/>
      <c r="R355" s="130"/>
      <c r="S355" s="130"/>
    </row>
    <row r="356" spans="1:19" s="75" customFormat="1" ht="62.15">
      <c r="A356" s="188" t="s">
        <v>958</v>
      </c>
      <c r="B356" s="147" t="s">
        <v>989</v>
      </c>
      <c r="C356" s="144" t="s">
        <v>1016</v>
      </c>
      <c r="D356" s="145" t="s">
        <v>1017</v>
      </c>
      <c r="E356" s="97"/>
      <c r="F356" s="94"/>
      <c r="G356" s="94"/>
      <c r="H356" s="180" t="s">
        <v>1018</v>
      </c>
      <c r="I356" s="94" t="b">
        <f>EXACT(C356,O356)</f>
        <v>1</v>
      </c>
      <c r="J356" s="94" t="b">
        <f>EXACT(D356,P356)</f>
        <v>1</v>
      </c>
      <c r="K356" s="94" t="s">
        <v>1568</v>
      </c>
      <c r="L356" s="94"/>
      <c r="M356" s="160" t="s">
        <v>958</v>
      </c>
      <c r="N356" s="160" t="s">
        <v>1511</v>
      </c>
      <c r="O356" s="159" t="s">
        <v>1016</v>
      </c>
      <c r="P356" s="189" t="s">
        <v>1017</v>
      </c>
      <c r="Q356" s="130"/>
      <c r="R356" s="130"/>
      <c r="S356" s="130"/>
    </row>
    <row r="357" spans="1:19" s="75" customFormat="1" ht="24.9">
      <c r="A357" s="188" t="s">
        <v>958</v>
      </c>
      <c r="B357" s="147" t="s">
        <v>1048</v>
      </c>
      <c r="C357" s="144" t="s">
        <v>1051</v>
      </c>
      <c r="D357" s="145" t="s">
        <v>1052</v>
      </c>
      <c r="E357" s="97"/>
      <c r="F357" s="94"/>
      <c r="G357" s="94"/>
      <c r="H357" s="94"/>
      <c r="I357" s="94" t="b">
        <f>EXACT(C357,O357)</f>
        <v>1</v>
      </c>
      <c r="J357" s="94" t="b">
        <f>EXACT(D357,P357)</f>
        <v>1</v>
      </c>
      <c r="K357" s="94" t="s">
        <v>1568</v>
      </c>
      <c r="L357" s="94"/>
      <c r="M357" s="160" t="s">
        <v>958</v>
      </c>
      <c r="N357" s="160" t="s">
        <v>1048</v>
      </c>
      <c r="O357" s="159" t="s">
        <v>1051</v>
      </c>
      <c r="P357" s="189" t="s">
        <v>1052</v>
      </c>
      <c r="Q357" s="130"/>
      <c r="R357" s="130"/>
      <c r="S357" s="130"/>
    </row>
    <row r="358" spans="1:19" s="75" customFormat="1" ht="62.15">
      <c r="A358" s="188" t="s">
        <v>958</v>
      </c>
      <c r="B358" s="147" t="s">
        <v>989</v>
      </c>
      <c r="C358" s="144" t="s">
        <v>1019</v>
      </c>
      <c r="D358" s="145" t="s">
        <v>1020</v>
      </c>
      <c r="E358" s="97"/>
      <c r="F358" s="94"/>
      <c r="G358" s="94"/>
      <c r="H358" s="94"/>
      <c r="I358" s="94" t="b">
        <f>EXACT(C358,O358)</f>
        <v>1</v>
      </c>
      <c r="J358" s="94" t="b">
        <f>EXACT(D358,P358)</f>
        <v>1</v>
      </c>
      <c r="K358" s="94" t="s">
        <v>1568</v>
      </c>
      <c r="L358" s="94"/>
      <c r="M358" s="160" t="s">
        <v>958</v>
      </c>
      <c r="N358" s="160" t="s">
        <v>1511</v>
      </c>
      <c r="O358" s="159" t="s">
        <v>1019</v>
      </c>
      <c r="P358" s="189" t="s">
        <v>1020</v>
      </c>
      <c r="Q358" s="130"/>
      <c r="R358" s="130"/>
      <c r="S358" s="130"/>
    </row>
    <row r="359" spans="1:19" s="75" customFormat="1" ht="62.15">
      <c r="A359" s="188" t="s">
        <v>958</v>
      </c>
      <c r="B359" s="147" t="s">
        <v>989</v>
      </c>
      <c r="C359" s="144" t="s">
        <v>1021</v>
      </c>
      <c r="D359" s="145" t="s">
        <v>1022</v>
      </c>
      <c r="E359" s="97"/>
      <c r="F359" s="94"/>
      <c r="G359" s="94"/>
      <c r="H359" s="180" t="s">
        <v>1018</v>
      </c>
      <c r="I359" s="94" t="b">
        <f>EXACT(C359,O359)</f>
        <v>1</v>
      </c>
      <c r="J359" s="94" t="b">
        <f>EXACT(D359,P359)</f>
        <v>1</v>
      </c>
      <c r="K359" s="94" t="s">
        <v>1568</v>
      </c>
      <c r="L359" s="94"/>
      <c r="M359" s="160" t="s">
        <v>958</v>
      </c>
      <c r="N359" s="160" t="s">
        <v>1511</v>
      </c>
      <c r="O359" s="159" t="s">
        <v>1021</v>
      </c>
      <c r="P359" s="189" t="s">
        <v>1022</v>
      </c>
      <c r="Q359" s="130"/>
      <c r="R359" s="130"/>
      <c r="S359" s="130"/>
    </row>
    <row r="360" spans="1:19" s="75" customFormat="1" ht="62.15">
      <c r="A360" s="188" t="s">
        <v>958</v>
      </c>
      <c r="B360" s="147" t="s">
        <v>1048</v>
      </c>
      <c r="C360" s="144" t="s">
        <v>1053</v>
      </c>
      <c r="D360" s="145" t="s">
        <v>1054</v>
      </c>
      <c r="E360" s="41" t="s">
        <v>331</v>
      </c>
      <c r="F360" s="93"/>
      <c r="G360" s="41"/>
      <c r="H360" s="76"/>
      <c r="I360" s="94" t="b">
        <f>EXACT(C360,O360)</f>
        <v>1</v>
      </c>
      <c r="J360" s="94" t="b">
        <f>EXACT(D360,P360)</f>
        <v>1</v>
      </c>
      <c r="K360" s="94" t="s">
        <v>1568</v>
      </c>
      <c r="L360" s="94"/>
      <c r="M360" s="160" t="s">
        <v>958</v>
      </c>
      <c r="N360" s="160" t="s">
        <v>1048</v>
      </c>
      <c r="O360" s="159" t="s">
        <v>1053</v>
      </c>
      <c r="P360" s="189" t="s">
        <v>1054</v>
      </c>
      <c r="Q360" s="130"/>
      <c r="R360" s="130"/>
      <c r="S360" s="130"/>
    </row>
    <row r="361" spans="1:19" s="75" customFormat="1" ht="24.9">
      <c r="A361" s="188" t="s">
        <v>958</v>
      </c>
      <c r="B361" s="147" t="s">
        <v>1048</v>
      </c>
      <c r="C361" s="144" t="s">
        <v>1055</v>
      </c>
      <c r="D361" s="145" t="s">
        <v>1056</v>
      </c>
      <c r="E361" s="97" t="s">
        <v>331</v>
      </c>
      <c r="F361" s="94"/>
      <c r="G361" s="94"/>
      <c r="H361" s="94"/>
      <c r="I361" s="94" t="b">
        <f>EXACT(C361,O361)</f>
        <v>1</v>
      </c>
      <c r="J361" s="94" t="b">
        <f>EXACT(D361,P361)</f>
        <v>1</v>
      </c>
      <c r="K361" s="94" t="s">
        <v>1568</v>
      </c>
      <c r="L361" s="94"/>
      <c r="M361" s="160" t="s">
        <v>958</v>
      </c>
      <c r="N361" s="160" t="s">
        <v>1048</v>
      </c>
      <c r="O361" s="159" t="s">
        <v>1055</v>
      </c>
      <c r="P361" s="189" t="s">
        <v>1056</v>
      </c>
      <c r="Q361" s="130"/>
      <c r="R361" s="130"/>
      <c r="S361" s="130"/>
    </row>
    <row r="362" spans="1:19" s="75" customFormat="1" ht="14.6">
      <c r="A362" s="198" t="s">
        <v>958</v>
      </c>
      <c r="B362" s="144" t="s">
        <v>1059</v>
      </c>
      <c r="C362" s="144" t="s">
        <v>1060</v>
      </c>
      <c r="D362" s="145" t="s">
        <v>1061</v>
      </c>
      <c r="E362" s="97"/>
      <c r="F362" s="94"/>
      <c r="G362" s="94"/>
      <c r="H362" s="94"/>
      <c r="I362" s="94" t="b">
        <f>EXACT(C362,O362)</f>
        <v>1</v>
      </c>
      <c r="J362" s="94" t="b">
        <f>EXACT(D362,P362)</f>
        <v>1</v>
      </c>
      <c r="K362" s="94" t="s">
        <v>1568</v>
      </c>
      <c r="L362" s="94"/>
      <c r="M362" s="159" t="s">
        <v>958</v>
      </c>
      <c r="N362" s="159" t="s">
        <v>1059</v>
      </c>
      <c r="O362" s="159" t="s">
        <v>1060</v>
      </c>
      <c r="P362" s="189" t="s">
        <v>1061</v>
      </c>
      <c r="Q362" s="130"/>
      <c r="R362" s="130"/>
      <c r="S362" s="130"/>
    </row>
    <row r="363" spans="1:19" s="75" customFormat="1" ht="14.6">
      <c r="A363" s="198" t="s">
        <v>958</v>
      </c>
      <c r="B363" s="144" t="s">
        <v>1059</v>
      </c>
      <c r="C363" s="144" t="s">
        <v>1062</v>
      </c>
      <c r="D363" s="145" t="s">
        <v>1063</v>
      </c>
      <c r="E363" s="97"/>
      <c r="F363" s="94"/>
      <c r="G363" s="94"/>
      <c r="H363" s="94"/>
      <c r="I363" s="94" t="b">
        <f>EXACT(C363,O363)</f>
        <v>1</v>
      </c>
      <c r="J363" s="94" t="b">
        <f>EXACT(D363,P363)</f>
        <v>1</v>
      </c>
      <c r="K363" s="94" t="s">
        <v>1568</v>
      </c>
      <c r="L363" s="94"/>
      <c r="M363" s="159" t="s">
        <v>958</v>
      </c>
      <c r="N363" s="159" t="s">
        <v>1059</v>
      </c>
      <c r="O363" s="159" t="s">
        <v>1062</v>
      </c>
      <c r="P363" s="189" t="s">
        <v>1063</v>
      </c>
      <c r="Q363" s="130"/>
      <c r="R363" s="130"/>
      <c r="S363" s="130"/>
    </row>
    <row r="364" spans="1:19" s="75" customFormat="1" ht="14.6">
      <c r="A364" s="198" t="s">
        <v>958</v>
      </c>
      <c r="B364" s="144" t="s">
        <v>1029</v>
      </c>
      <c r="C364" s="144" t="s">
        <v>1030</v>
      </c>
      <c r="D364" s="145" t="s">
        <v>1031</v>
      </c>
      <c r="E364" s="97"/>
      <c r="F364" s="94"/>
      <c r="G364" s="94"/>
      <c r="H364" s="94"/>
      <c r="I364" s="94" t="b">
        <f>EXACT(C364,O364)</f>
        <v>1</v>
      </c>
      <c r="J364" s="94" t="b">
        <f>EXACT(D364,P364)</f>
        <v>1</v>
      </c>
      <c r="K364" s="94" t="s">
        <v>1568</v>
      </c>
      <c r="L364" s="94"/>
      <c r="M364" s="159" t="s">
        <v>673</v>
      </c>
      <c r="N364" s="159" t="s">
        <v>1436</v>
      </c>
      <c r="O364" s="159" t="s">
        <v>1030</v>
      </c>
      <c r="P364" s="189" t="s">
        <v>1031</v>
      </c>
      <c r="Q364" s="130"/>
      <c r="R364" s="130"/>
      <c r="S364" s="130"/>
    </row>
    <row r="365" spans="1:19" s="75" customFormat="1" ht="62.15">
      <c r="A365" s="188" t="s">
        <v>958</v>
      </c>
      <c r="B365" s="144" t="s">
        <v>1029</v>
      </c>
      <c r="C365" s="144" t="s">
        <v>1032</v>
      </c>
      <c r="D365" s="145" t="s">
        <v>1033</v>
      </c>
      <c r="E365" s="97"/>
      <c r="F365" s="94"/>
      <c r="G365" s="94"/>
      <c r="H365" s="94"/>
      <c r="I365" s="94" t="b">
        <f>EXACT(C365,O365)</f>
        <v>1</v>
      </c>
      <c r="J365" s="94" t="b">
        <f>EXACT(D365,P365)</f>
        <v>0</v>
      </c>
      <c r="K365" s="94" t="s">
        <v>1569</v>
      </c>
      <c r="L365" s="94" t="s">
        <v>1585</v>
      </c>
      <c r="M365" s="159" t="s">
        <v>673</v>
      </c>
      <c r="N365" s="159" t="s">
        <v>1418</v>
      </c>
      <c r="O365" s="159" t="s">
        <v>1032</v>
      </c>
      <c r="P365" s="189" t="s">
        <v>1419</v>
      </c>
      <c r="Q365" s="130"/>
      <c r="R365" s="130"/>
      <c r="S365" s="130"/>
    </row>
    <row r="366" spans="1:19" s="75" customFormat="1" ht="62.15">
      <c r="A366" s="188" t="s">
        <v>958</v>
      </c>
      <c r="B366" s="147" t="s">
        <v>968</v>
      </c>
      <c r="C366" s="144" t="s">
        <v>969</v>
      </c>
      <c r="D366" s="145" t="s">
        <v>970</v>
      </c>
      <c r="E366" s="97"/>
      <c r="F366" s="94"/>
      <c r="G366" s="94"/>
      <c r="H366" s="94"/>
      <c r="I366" s="94" t="b">
        <f>EXACT(C366,O366)</f>
        <v>1</v>
      </c>
      <c r="J366" s="94" t="b">
        <f>EXACT(D366,P366)</f>
        <v>1</v>
      </c>
      <c r="K366" s="94" t="s">
        <v>1568</v>
      </c>
      <c r="L366" s="94"/>
      <c r="M366" s="160" t="s">
        <v>958</v>
      </c>
      <c r="N366" s="160" t="s">
        <v>1458</v>
      </c>
      <c r="O366" s="159" t="s">
        <v>969</v>
      </c>
      <c r="P366" s="189" t="s">
        <v>970</v>
      </c>
      <c r="Q366" s="130"/>
      <c r="R366" s="130"/>
      <c r="S366" s="130"/>
    </row>
    <row r="367" spans="1:19" s="75" customFormat="1" ht="49.75">
      <c r="A367" s="188" t="s">
        <v>208</v>
      </c>
      <c r="B367" s="147" t="s">
        <v>209</v>
      </c>
      <c r="C367" s="144" t="s">
        <v>266</v>
      </c>
      <c r="D367" s="145" t="s">
        <v>267</v>
      </c>
      <c r="E367" s="41"/>
      <c r="F367" s="93"/>
      <c r="G367" s="41"/>
      <c r="H367" s="76"/>
      <c r="I367" s="94" t="b">
        <f>EXACT(C367,O367)</f>
        <v>1</v>
      </c>
      <c r="J367" s="94" t="b">
        <f>EXACT(D367,P367)</f>
        <v>1</v>
      </c>
      <c r="K367" s="94" t="s">
        <v>1568</v>
      </c>
      <c r="L367" s="94"/>
      <c r="M367" s="160" t="s">
        <v>208</v>
      </c>
      <c r="N367" s="160" t="s">
        <v>209</v>
      </c>
      <c r="O367" s="159" t="s">
        <v>266</v>
      </c>
      <c r="P367" s="189" t="s">
        <v>267</v>
      </c>
      <c r="Q367" s="130"/>
      <c r="R367" s="130"/>
      <c r="S367" s="130"/>
    </row>
    <row r="368" spans="1:19" s="75" customFormat="1" ht="24.9">
      <c r="A368" s="198" t="s">
        <v>958</v>
      </c>
      <c r="B368" s="144" t="s">
        <v>1029</v>
      </c>
      <c r="C368" s="144" t="s">
        <v>1034</v>
      </c>
      <c r="D368" s="145" t="s">
        <v>1035</v>
      </c>
      <c r="E368" s="97"/>
      <c r="F368" s="94"/>
      <c r="G368" s="94"/>
      <c r="H368" s="94"/>
      <c r="I368" s="94" t="b">
        <f>EXACT(C368,O368)</f>
        <v>1</v>
      </c>
      <c r="J368" s="94" t="b">
        <f>EXACT(D368,P368)</f>
        <v>0</v>
      </c>
      <c r="K368" s="94" t="s">
        <v>1569</v>
      </c>
      <c r="L368" s="94" t="s">
        <v>1584</v>
      </c>
      <c r="M368" s="159" t="s">
        <v>673</v>
      </c>
      <c r="N368" s="159" t="s">
        <v>1401</v>
      </c>
      <c r="O368" s="159" t="s">
        <v>1034</v>
      </c>
      <c r="P368" s="189" t="s">
        <v>1402</v>
      </c>
      <c r="Q368" s="130"/>
      <c r="R368" s="130"/>
      <c r="S368" s="130"/>
    </row>
    <row r="369" spans="1:19" s="75" customFormat="1" ht="87">
      <c r="A369" s="188" t="s">
        <v>958</v>
      </c>
      <c r="B369" s="147" t="s">
        <v>968</v>
      </c>
      <c r="C369" s="144" t="s">
        <v>971</v>
      </c>
      <c r="D369" s="145" t="s">
        <v>972</v>
      </c>
      <c r="E369" s="97"/>
      <c r="F369" s="94"/>
      <c r="G369" s="94"/>
      <c r="H369" s="94"/>
      <c r="I369" s="94" t="b">
        <f>EXACT(C369,O369)</f>
        <v>1</v>
      </c>
      <c r="J369" s="94" t="b">
        <f>EXACT(D369,P369)</f>
        <v>1</v>
      </c>
      <c r="K369" s="94" t="s">
        <v>1568</v>
      </c>
      <c r="L369" s="94"/>
      <c r="M369" s="160" t="s">
        <v>958</v>
      </c>
      <c r="N369" s="160" t="s">
        <v>1458</v>
      </c>
      <c r="O369" s="159" t="s">
        <v>971</v>
      </c>
      <c r="P369" s="189" t="s">
        <v>972</v>
      </c>
      <c r="Q369" s="130"/>
      <c r="R369" s="130"/>
      <c r="S369" s="130"/>
    </row>
    <row r="370" spans="1:19" s="75" customFormat="1" ht="87">
      <c r="A370" s="188" t="s">
        <v>958</v>
      </c>
      <c r="B370" s="147" t="s">
        <v>968</v>
      </c>
      <c r="C370" s="144" t="s">
        <v>973</v>
      </c>
      <c r="D370" s="145" t="s">
        <v>974</v>
      </c>
      <c r="E370" s="97"/>
      <c r="F370" s="94"/>
      <c r="G370" s="94"/>
      <c r="H370" s="94"/>
      <c r="I370" s="94" t="b">
        <f>EXACT(C370,O370)</f>
        <v>1</v>
      </c>
      <c r="J370" s="94" t="b">
        <f>EXACT(D370,P370)</f>
        <v>1</v>
      </c>
      <c r="K370" s="94" t="s">
        <v>1568</v>
      </c>
      <c r="L370" s="94"/>
      <c r="M370" s="160" t="s">
        <v>958</v>
      </c>
      <c r="N370" s="160" t="s">
        <v>1458</v>
      </c>
      <c r="O370" s="159" t="s">
        <v>973</v>
      </c>
      <c r="P370" s="189" t="s">
        <v>974</v>
      </c>
      <c r="Q370" s="130"/>
      <c r="R370" s="130"/>
      <c r="S370" s="130"/>
    </row>
    <row r="371" spans="1:19" s="75" customFormat="1" ht="14.6">
      <c r="A371" s="198" t="s">
        <v>958</v>
      </c>
      <c r="B371" s="144" t="s">
        <v>1059</v>
      </c>
      <c r="C371" s="144" t="s">
        <v>1064</v>
      </c>
      <c r="D371" s="145" t="s">
        <v>1065</v>
      </c>
      <c r="E371" s="97"/>
      <c r="F371" s="94"/>
      <c r="G371" s="94"/>
      <c r="H371" s="94"/>
      <c r="I371" s="94" t="b">
        <f>EXACT(C371,O371)</f>
        <v>1</v>
      </c>
      <c r="J371" s="94" t="b">
        <f>EXACT(D371,P371)</f>
        <v>1</v>
      </c>
      <c r="K371" s="94" t="s">
        <v>1568</v>
      </c>
      <c r="L371" s="94"/>
      <c r="M371" s="159" t="s">
        <v>958</v>
      </c>
      <c r="N371" s="159" t="s">
        <v>1059</v>
      </c>
      <c r="O371" s="159" t="s">
        <v>1064</v>
      </c>
      <c r="P371" s="189" t="s">
        <v>1065</v>
      </c>
      <c r="Q371" s="130"/>
      <c r="R371" s="130"/>
      <c r="S371" s="130"/>
    </row>
    <row r="372" spans="1:19" s="75" customFormat="1" ht="14.6">
      <c r="A372" s="198" t="s">
        <v>958</v>
      </c>
      <c r="B372" s="144" t="s">
        <v>1029</v>
      </c>
      <c r="C372" s="144" t="s">
        <v>1036</v>
      </c>
      <c r="D372" s="145" t="s">
        <v>1037</v>
      </c>
      <c r="E372" s="97"/>
      <c r="F372" s="94"/>
      <c r="G372" s="94"/>
      <c r="H372" s="94"/>
      <c r="I372" s="94" t="b">
        <f>EXACT(C372,O372)</f>
        <v>1</v>
      </c>
      <c r="J372" s="94" t="b">
        <f>EXACT(D372,P372)</f>
        <v>1</v>
      </c>
      <c r="K372" s="94" t="s">
        <v>1568</v>
      </c>
      <c r="L372" s="94"/>
      <c r="M372" s="159" t="s">
        <v>673</v>
      </c>
      <c r="N372" s="159" t="s">
        <v>1401</v>
      </c>
      <c r="O372" s="159" t="s">
        <v>1036</v>
      </c>
      <c r="P372" s="189" t="s">
        <v>1037</v>
      </c>
      <c r="Q372" s="130"/>
      <c r="R372" s="130"/>
      <c r="S372" s="130"/>
    </row>
    <row r="373" spans="1:19" s="75" customFormat="1" ht="87">
      <c r="A373" s="198" t="s">
        <v>958</v>
      </c>
      <c r="B373" s="144" t="s">
        <v>1059</v>
      </c>
      <c r="C373" s="144" t="s">
        <v>1066</v>
      </c>
      <c r="D373" s="145" t="s">
        <v>1067</v>
      </c>
      <c r="E373" s="97"/>
      <c r="F373" s="94"/>
      <c r="G373" s="94"/>
      <c r="H373" s="94"/>
      <c r="I373" s="94" t="b">
        <f>EXACT(C373,O373)</f>
        <v>1</v>
      </c>
      <c r="J373" s="94" t="b">
        <f>EXACT(D373,P373)</f>
        <v>1</v>
      </c>
      <c r="K373" s="94" t="s">
        <v>1568</v>
      </c>
      <c r="L373" s="94"/>
      <c r="M373" s="159" t="s">
        <v>958</v>
      </c>
      <c r="N373" s="159" t="s">
        <v>1059</v>
      </c>
      <c r="O373" s="159" t="s">
        <v>1066</v>
      </c>
      <c r="P373" s="189" t="s">
        <v>1067</v>
      </c>
      <c r="Q373" s="130"/>
      <c r="R373" s="130"/>
      <c r="S373" s="130"/>
    </row>
    <row r="374" spans="1:19" s="75" customFormat="1" ht="24.9">
      <c r="A374" s="198" t="s">
        <v>958</v>
      </c>
      <c r="B374" s="144" t="s">
        <v>1059</v>
      </c>
      <c r="C374" s="144" t="s">
        <v>1068</v>
      </c>
      <c r="D374" s="145" t="s">
        <v>1069</v>
      </c>
      <c r="E374" s="97"/>
      <c r="F374" s="94"/>
      <c r="G374" s="94"/>
      <c r="H374" s="94"/>
      <c r="I374" s="94" t="b">
        <f>EXACT(C374,O374)</f>
        <v>1</v>
      </c>
      <c r="J374" s="94" t="b">
        <f>EXACT(D374,P374)</f>
        <v>1</v>
      </c>
      <c r="K374" s="94" t="s">
        <v>1568</v>
      </c>
      <c r="L374" s="94"/>
      <c r="M374" s="159" t="s">
        <v>958</v>
      </c>
      <c r="N374" s="159" t="s">
        <v>1059</v>
      </c>
      <c r="O374" s="159" t="s">
        <v>1068</v>
      </c>
      <c r="P374" s="189" t="s">
        <v>1069</v>
      </c>
      <c r="Q374" s="130"/>
      <c r="R374" s="130"/>
      <c r="S374" s="130"/>
    </row>
    <row r="375" spans="1:19" s="75" customFormat="1" ht="24.9">
      <c r="A375" s="198" t="s">
        <v>958</v>
      </c>
      <c r="B375" s="144" t="s">
        <v>1059</v>
      </c>
      <c r="C375" s="144" t="s">
        <v>1070</v>
      </c>
      <c r="D375" s="145" t="s">
        <v>1071</v>
      </c>
      <c r="E375" s="97"/>
      <c r="F375" s="94"/>
      <c r="G375" s="94"/>
      <c r="H375" s="94"/>
      <c r="I375" s="94" t="b">
        <f>EXACT(C375,O375)</f>
        <v>1</v>
      </c>
      <c r="J375" s="94" t="b">
        <f>EXACT(D375,P375)</f>
        <v>1</v>
      </c>
      <c r="K375" s="94" t="s">
        <v>1568</v>
      </c>
      <c r="L375" s="94"/>
      <c r="M375" s="159" t="s">
        <v>958</v>
      </c>
      <c r="N375" s="159" t="s">
        <v>1059</v>
      </c>
      <c r="O375" s="159" t="s">
        <v>1070</v>
      </c>
      <c r="P375" s="189" t="s">
        <v>1071</v>
      </c>
      <c r="Q375" s="130"/>
      <c r="R375" s="130"/>
      <c r="S375" s="130"/>
    </row>
    <row r="376" spans="1:19" s="75" customFormat="1" ht="37.299999999999997">
      <c r="A376" s="198" t="s">
        <v>958</v>
      </c>
      <c r="B376" s="147" t="s">
        <v>1029</v>
      </c>
      <c r="C376" s="144" t="s">
        <v>1038</v>
      </c>
      <c r="D376" s="145" t="s">
        <v>1039</v>
      </c>
      <c r="E376" s="97"/>
      <c r="F376" s="94"/>
      <c r="G376" s="94"/>
      <c r="H376" s="94"/>
      <c r="I376" s="94" t="b">
        <f>EXACT(C376,O376)</f>
        <v>1</v>
      </c>
      <c r="J376" s="94" t="b">
        <f>EXACT(D376,P376)</f>
        <v>1</v>
      </c>
      <c r="K376" s="94" t="s">
        <v>1568</v>
      </c>
      <c r="L376" s="94"/>
      <c r="M376" s="159" t="s">
        <v>673</v>
      </c>
      <c r="N376" s="159" t="s">
        <v>1401</v>
      </c>
      <c r="O376" s="159" t="s">
        <v>1038</v>
      </c>
      <c r="P376" s="189" t="s">
        <v>1039</v>
      </c>
      <c r="Q376" s="130"/>
      <c r="R376" s="130"/>
      <c r="S376" s="130"/>
    </row>
    <row r="377" spans="1:19" s="75" customFormat="1" ht="24.9">
      <c r="A377" s="198" t="s">
        <v>958</v>
      </c>
      <c r="B377" s="144" t="s">
        <v>1029</v>
      </c>
      <c r="C377" s="144" t="s">
        <v>1040</v>
      </c>
      <c r="D377" s="145" t="s">
        <v>1041</v>
      </c>
      <c r="E377" s="97"/>
      <c r="F377" s="94"/>
      <c r="G377" s="94"/>
      <c r="H377" s="94"/>
      <c r="I377" s="94" t="b">
        <f>EXACT(C377,O377)</f>
        <v>1</v>
      </c>
      <c r="J377" s="94" t="b">
        <f>EXACT(D377,P377)</f>
        <v>1</v>
      </c>
      <c r="K377" s="94" t="s">
        <v>1568</v>
      </c>
      <c r="L377" s="94"/>
      <c r="M377" s="159" t="s">
        <v>673</v>
      </c>
      <c r="N377" s="167" t="s">
        <v>1443</v>
      </c>
      <c r="O377" s="159" t="s">
        <v>1040</v>
      </c>
      <c r="P377" s="189" t="s">
        <v>1041</v>
      </c>
      <c r="Q377" s="130"/>
      <c r="R377" s="130"/>
      <c r="S377" s="130"/>
    </row>
    <row r="378" spans="1:19" s="75" customFormat="1" ht="62.15">
      <c r="A378" s="188" t="s">
        <v>208</v>
      </c>
      <c r="B378" s="147" t="s">
        <v>209</v>
      </c>
      <c r="C378" s="144" t="s">
        <v>268</v>
      </c>
      <c r="D378" s="145" t="s">
        <v>269</v>
      </c>
      <c r="E378" s="41"/>
      <c r="F378" s="93"/>
      <c r="G378" s="41"/>
      <c r="H378" s="76"/>
      <c r="I378" s="94" t="b">
        <f>EXACT(C378,O378)</f>
        <v>1</v>
      </c>
      <c r="J378" s="94" t="b">
        <f>EXACT(D378,P378)</f>
        <v>1</v>
      </c>
      <c r="K378" s="94" t="s">
        <v>1568</v>
      </c>
      <c r="L378" s="94"/>
      <c r="M378" s="160" t="s">
        <v>208</v>
      </c>
      <c r="N378" s="160" t="s">
        <v>209</v>
      </c>
      <c r="O378" s="159" t="s">
        <v>268</v>
      </c>
      <c r="P378" s="189" t="s">
        <v>269</v>
      </c>
      <c r="Q378" s="130"/>
      <c r="R378" s="130"/>
      <c r="S378" s="130"/>
    </row>
    <row r="379" spans="1:19" s="75" customFormat="1" ht="14.6">
      <c r="A379" s="198" t="s">
        <v>958</v>
      </c>
      <c r="B379" s="144" t="s">
        <v>1029</v>
      </c>
      <c r="C379" s="144" t="s">
        <v>1042</v>
      </c>
      <c r="D379" s="145" t="s">
        <v>1043</v>
      </c>
      <c r="E379" s="97"/>
      <c r="F379" s="94"/>
      <c r="G379" s="94"/>
      <c r="H379" s="94"/>
      <c r="I379" s="94" t="b">
        <f>EXACT(C379,O379)</f>
        <v>1</v>
      </c>
      <c r="J379" s="94" t="b">
        <f>EXACT(D379,P379)</f>
        <v>1</v>
      </c>
      <c r="K379" s="94" t="s">
        <v>1568</v>
      </c>
      <c r="L379" s="94"/>
      <c r="M379" s="159" t="s">
        <v>673</v>
      </c>
      <c r="N379" s="159" t="s">
        <v>1418</v>
      </c>
      <c r="O379" s="159" t="s">
        <v>1042</v>
      </c>
      <c r="P379" s="189" t="s">
        <v>1043</v>
      </c>
      <c r="Q379" s="130"/>
      <c r="R379" s="130"/>
      <c r="S379" s="130"/>
    </row>
    <row r="380" spans="1:19" s="75" customFormat="1" ht="24.9">
      <c r="A380" s="198" t="s">
        <v>958</v>
      </c>
      <c r="B380" s="144" t="s">
        <v>1029</v>
      </c>
      <c r="C380" s="144" t="s">
        <v>1044</v>
      </c>
      <c r="D380" s="145" t="s">
        <v>1045</v>
      </c>
      <c r="E380" s="97"/>
      <c r="F380" s="94"/>
      <c r="G380" s="94"/>
      <c r="H380" s="94"/>
      <c r="I380" s="94" t="b">
        <f>EXACT(C380,O380)</f>
        <v>1</v>
      </c>
      <c r="J380" s="94" t="b">
        <f>EXACT(D380,P380)</f>
        <v>1</v>
      </c>
      <c r="K380" s="94" t="s">
        <v>1568</v>
      </c>
      <c r="L380" s="94"/>
      <c r="M380" s="159" t="s">
        <v>673</v>
      </c>
      <c r="N380" s="159" t="s">
        <v>1436</v>
      </c>
      <c r="O380" s="159" t="s">
        <v>1044</v>
      </c>
      <c r="P380" s="189" t="s">
        <v>1045</v>
      </c>
      <c r="Q380" s="130"/>
      <c r="R380" s="130"/>
      <c r="S380" s="130"/>
    </row>
    <row r="381" spans="1:19" s="75" customFormat="1" ht="24.9">
      <c r="A381" s="198" t="s">
        <v>958</v>
      </c>
      <c r="B381" s="144" t="s">
        <v>1029</v>
      </c>
      <c r="C381" s="144" t="s">
        <v>1046</v>
      </c>
      <c r="D381" s="145" t="s">
        <v>1047</v>
      </c>
      <c r="E381" s="97"/>
      <c r="F381" s="94"/>
      <c r="G381" s="94"/>
      <c r="H381" s="94"/>
      <c r="I381" s="94" t="b">
        <f>EXACT(C381,O381)</f>
        <v>1</v>
      </c>
      <c r="J381" s="94" t="b">
        <f>EXACT(D381,P381)</f>
        <v>0</v>
      </c>
      <c r="K381" s="94" t="s">
        <v>1569</v>
      </c>
      <c r="L381" s="94" t="s">
        <v>1584</v>
      </c>
      <c r="M381" s="159" t="s">
        <v>673</v>
      </c>
      <c r="N381" s="159" t="s">
        <v>1401</v>
      </c>
      <c r="O381" s="159" t="s">
        <v>1046</v>
      </c>
      <c r="P381" s="189" t="s">
        <v>1403</v>
      </c>
      <c r="Q381" s="130"/>
      <c r="R381" s="130"/>
      <c r="S381" s="130"/>
    </row>
    <row r="382" spans="1:19" s="75" customFormat="1" ht="62.15">
      <c r="A382" s="188" t="s">
        <v>958</v>
      </c>
      <c r="B382" s="147" t="s">
        <v>968</v>
      </c>
      <c r="C382" s="144" t="s">
        <v>975</v>
      </c>
      <c r="D382" s="145" t="s">
        <v>976</v>
      </c>
      <c r="E382" s="97"/>
      <c r="F382" s="94"/>
      <c r="G382" s="94"/>
      <c r="H382" s="94"/>
      <c r="I382" s="94" t="b">
        <f>EXACT(C382,O382)</f>
        <v>1</v>
      </c>
      <c r="J382" s="94" t="b">
        <f>EXACT(D382,P382)</f>
        <v>1</v>
      </c>
      <c r="K382" s="94" t="s">
        <v>1568</v>
      </c>
      <c r="L382" s="94"/>
      <c r="M382" s="160" t="s">
        <v>958</v>
      </c>
      <c r="N382" s="160" t="s">
        <v>1458</v>
      </c>
      <c r="O382" s="159" t="s">
        <v>975</v>
      </c>
      <c r="P382" s="189" t="s">
        <v>976</v>
      </c>
      <c r="Q382" s="130"/>
      <c r="R382" s="130"/>
      <c r="S382" s="130"/>
    </row>
    <row r="383" spans="1:19" s="75" customFormat="1" ht="62.15">
      <c r="A383" s="188" t="s">
        <v>958</v>
      </c>
      <c r="B383" s="147" t="s">
        <v>968</v>
      </c>
      <c r="C383" s="144" t="s">
        <v>977</v>
      </c>
      <c r="D383" s="145" t="s">
        <v>978</v>
      </c>
      <c r="E383" s="97"/>
      <c r="F383" s="94"/>
      <c r="G383" s="94"/>
      <c r="H383" s="94"/>
      <c r="I383" s="94" t="b">
        <f>EXACT(C383,O383)</f>
        <v>1</v>
      </c>
      <c r="J383" s="94" t="b">
        <f>EXACT(D383,P383)</f>
        <v>1</v>
      </c>
      <c r="K383" s="94" t="s">
        <v>1568</v>
      </c>
      <c r="L383" s="94"/>
      <c r="M383" s="160" t="s">
        <v>958</v>
      </c>
      <c r="N383" s="160" t="s">
        <v>1458</v>
      </c>
      <c r="O383" s="159" t="s">
        <v>977</v>
      </c>
      <c r="P383" s="189" t="s">
        <v>978</v>
      </c>
      <c r="Q383" s="130"/>
      <c r="R383" s="130"/>
      <c r="S383" s="130"/>
    </row>
    <row r="384" spans="1:19" s="75" customFormat="1" ht="62.15">
      <c r="A384" s="188" t="s">
        <v>958</v>
      </c>
      <c r="B384" s="147" t="s">
        <v>968</v>
      </c>
      <c r="C384" s="144" t="s">
        <v>979</v>
      </c>
      <c r="D384" s="145" t="s">
        <v>980</v>
      </c>
      <c r="E384" s="97"/>
      <c r="F384" s="94"/>
      <c r="G384" s="94"/>
      <c r="H384" s="94"/>
      <c r="I384" s="94" t="b">
        <f>EXACT(C384,O384)</f>
        <v>1</v>
      </c>
      <c r="J384" s="94" t="b">
        <f>EXACT(D384,P384)</f>
        <v>1</v>
      </c>
      <c r="K384" s="94" t="s">
        <v>1568</v>
      </c>
      <c r="L384" s="94"/>
      <c r="M384" s="160" t="s">
        <v>958</v>
      </c>
      <c r="N384" s="160" t="s">
        <v>1458</v>
      </c>
      <c r="O384" s="159" t="s">
        <v>979</v>
      </c>
      <c r="P384" s="189" t="s">
        <v>980</v>
      </c>
      <c r="Q384" s="130"/>
      <c r="R384" s="130"/>
      <c r="S384" s="130"/>
    </row>
    <row r="385" spans="1:19" s="75" customFormat="1" ht="49.75">
      <c r="A385" s="188" t="s">
        <v>958</v>
      </c>
      <c r="B385" s="147" t="s">
        <v>968</v>
      </c>
      <c r="C385" s="144" t="s">
        <v>981</v>
      </c>
      <c r="D385" s="145" t="s">
        <v>982</v>
      </c>
      <c r="E385" s="97"/>
      <c r="F385" s="94"/>
      <c r="G385" s="94"/>
      <c r="H385" s="94"/>
      <c r="I385" s="94" t="b">
        <f>EXACT(C385,O385)</f>
        <v>1</v>
      </c>
      <c r="J385" s="94" t="b">
        <f>EXACT(D385,P385)</f>
        <v>1</v>
      </c>
      <c r="K385" s="94" t="s">
        <v>1568</v>
      </c>
      <c r="L385" s="94"/>
      <c r="M385" s="160" t="s">
        <v>958</v>
      </c>
      <c r="N385" s="160" t="s">
        <v>1458</v>
      </c>
      <c r="O385" s="159" t="s">
        <v>981</v>
      </c>
      <c r="P385" s="189" t="s">
        <v>982</v>
      </c>
      <c r="Q385" s="130"/>
      <c r="R385" s="130"/>
      <c r="S385" s="130"/>
    </row>
    <row r="386" spans="1:19" s="75" customFormat="1" ht="49.75">
      <c r="A386" s="188" t="s">
        <v>958</v>
      </c>
      <c r="B386" s="147" t="s">
        <v>968</v>
      </c>
      <c r="C386" s="144" t="s">
        <v>983</v>
      </c>
      <c r="D386" s="145" t="s">
        <v>984</v>
      </c>
      <c r="E386" s="97"/>
      <c r="F386" s="94"/>
      <c r="G386" s="94"/>
      <c r="H386" s="94"/>
      <c r="I386" s="94" t="b">
        <f>EXACT(C386,O386)</f>
        <v>1</v>
      </c>
      <c r="J386" s="94" t="b">
        <f>EXACT(D386,P386)</f>
        <v>1</v>
      </c>
      <c r="K386" s="94" t="s">
        <v>1568</v>
      </c>
      <c r="L386" s="94"/>
      <c r="M386" s="160" t="s">
        <v>958</v>
      </c>
      <c r="N386" s="160" t="s">
        <v>1458</v>
      </c>
      <c r="O386" s="159" t="s">
        <v>983</v>
      </c>
      <c r="P386" s="189" t="s">
        <v>984</v>
      </c>
      <c r="Q386" s="130"/>
      <c r="R386" s="130"/>
      <c r="S386" s="130"/>
    </row>
    <row r="387" spans="1:19" s="75" customFormat="1" ht="62.15">
      <c r="A387" s="188" t="s">
        <v>958</v>
      </c>
      <c r="B387" s="147" t="s">
        <v>968</v>
      </c>
      <c r="C387" s="144" t="s">
        <v>985</v>
      </c>
      <c r="D387" s="145" t="s">
        <v>986</v>
      </c>
      <c r="E387" s="97"/>
      <c r="F387" s="94"/>
      <c r="G387" s="94"/>
      <c r="H387" s="94"/>
      <c r="I387" s="94" t="b">
        <f>EXACT(C387,O387)</f>
        <v>1</v>
      </c>
      <c r="J387" s="94" t="b">
        <f>EXACT(D387,P387)</f>
        <v>1</v>
      </c>
      <c r="K387" s="94" t="s">
        <v>1568</v>
      </c>
      <c r="L387" s="94"/>
      <c r="M387" s="160" t="s">
        <v>958</v>
      </c>
      <c r="N387" s="160" t="s">
        <v>1458</v>
      </c>
      <c r="O387" s="159" t="s">
        <v>985</v>
      </c>
      <c r="P387" s="189" t="s">
        <v>986</v>
      </c>
      <c r="Q387" s="130"/>
      <c r="R387" s="130"/>
      <c r="S387" s="130"/>
    </row>
    <row r="388" spans="1:19" s="75" customFormat="1" ht="62.15">
      <c r="A388" s="188" t="s">
        <v>958</v>
      </c>
      <c r="B388" s="147" t="s">
        <v>989</v>
      </c>
      <c r="C388" s="144" t="s">
        <v>1023</v>
      </c>
      <c r="D388" s="145" t="s">
        <v>1024</v>
      </c>
      <c r="E388" s="97"/>
      <c r="F388" s="94"/>
      <c r="G388" s="94"/>
      <c r="H388" s="94"/>
      <c r="I388" s="94" t="b">
        <f>EXACT(C388,O388)</f>
        <v>1</v>
      </c>
      <c r="J388" s="94" t="b">
        <f>EXACT(D388,P388)</f>
        <v>1</v>
      </c>
      <c r="K388" s="94" t="s">
        <v>1568</v>
      </c>
      <c r="L388" s="94"/>
      <c r="M388" s="160" t="s">
        <v>958</v>
      </c>
      <c r="N388" s="160" t="s">
        <v>1511</v>
      </c>
      <c r="O388" s="159" t="s">
        <v>1023</v>
      </c>
      <c r="P388" s="189" t="s">
        <v>1024</v>
      </c>
      <c r="Q388" s="130"/>
      <c r="R388" s="130"/>
      <c r="S388" s="130"/>
    </row>
    <row r="389" spans="1:19" s="75" customFormat="1" ht="62.15">
      <c r="A389" s="188" t="s">
        <v>958</v>
      </c>
      <c r="B389" s="147" t="s">
        <v>968</v>
      </c>
      <c r="C389" s="144" t="s">
        <v>987</v>
      </c>
      <c r="D389" s="145" t="s">
        <v>988</v>
      </c>
      <c r="E389" s="97"/>
      <c r="F389" s="94"/>
      <c r="G389" s="94"/>
      <c r="H389" s="94"/>
      <c r="I389" s="94" t="b">
        <f>EXACT(C389,O389)</f>
        <v>1</v>
      </c>
      <c r="J389" s="94" t="b">
        <f>EXACT(D389,P389)</f>
        <v>1</v>
      </c>
      <c r="K389" s="94" t="s">
        <v>1568</v>
      </c>
      <c r="L389" s="94"/>
      <c r="M389" s="160" t="s">
        <v>958</v>
      </c>
      <c r="N389" s="160" t="s">
        <v>1458</v>
      </c>
      <c r="O389" s="159" t="s">
        <v>987</v>
      </c>
      <c r="P389" s="189" t="s">
        <v>988</v>
      </c>
      <c r="Q389" s="130"/>
      <c r="R389" s="130"/>
      <c r="S389" s="130"/>
    </row>
    <row r="390" spans="1:19" s="75" customFormat="1" ht="14.6">
      <c r="A390" s="196" t="s">
        <v>958</v>
      </c>
      <c r="B390" s="153" t="s">
        <v>959</v>
      </c>
      <c r="C390" s="144" t="s">
        <v>960</v>
      </c>
      <c r="D390" s="145" t="s">
        <v>961</v>
      </c>
      <c r="E390" s="97"/>
      <c r="F390" s="94"/>
      <c r="G390" s="94"/>
      <c r="H390" s="94"/>
      <c r="I390" s="94" t="b">
        <f>EXACT(C390,O390)</f>
        <v>1</v>
      </c>
      <c r="J390" s="94" t="b">
        <f>EXACT(D390,P390)</f>
        <v>1</v>
      </c>
      <c r="K390" s="94" t="s">
        <v>1568</v>
      </c>
      <c r="L390" s="94"/>
      <c r="M390" s="169" t="s">
        <v>958</v>
      </c>
      <c r="N390" s="169" t="s">
        <v>959</v>
      </c>
      <c r="O390" s="159" t="s">
        <v>960</v>
      </c>
      <c r="P390" s="189" t="s">
        <v>961</v>
      </c>
      <c r="Q390" s="130"/>
      <c r="R390" s="130"/>
      <c r="S390" s="130"/>
    </row>
    <row r="391" spans="1:19" s="75" customFormat="1" ht="14.6">
      <c r="A391" s="196" t="s">
        <v>958</v>
      </c>
      <c r="B391" s="153" t="s">
        <v>959</v>
      </c>
      <c r="C391" s="144" t="s">
        <v>962</v>
      </c>
      <c r="D391" s="145" t="s">
        <v>963</v>
      </c>
      <c r="E391" s="97"/>
      <c r="F391" s="94"/>
      <c r="G391" s="94"/>
      <c r="H391" s="94"/>
      <c r="I391" s="94" t="b">
        <f>EXACT(C391,O391)</f>
        <v>1</v>
      </c>
      <c r="J391" s="94" t="b">
        <f>EXACT(D391,P391)</f>
        <v>1</v>
      </c>
      <c r="K391" s="94" t="s">
        <v>1568</v>
      </c>
      <c r="L391" s="94"/>
      <c r="M391" s="169" t="s">
        <v>958</v>
      </c>
      <c r="N391" s="169" t="s">
        <v>959</v>
      </c>
      <c r="O391" s="159" t="s">
        <v>962</v>
      </c>
      <c r="P391" s="189" t="s">
        <v>963</v>
      </c>
      <c r="Q391" s="130"/>
      <c r="R391" s="130"/>
      <c r="S391" s="130"/>
    </row>
    <row r="392" spans="1:19" s="75" customFormat="1" ht="49.75">
      <c r="A392" s="188" t="s">
        <v>958</v>
      </c>
      <c r="B392" s="153" t="s">
        <v>959</v>
      </c>
      <c r="C392" s="144" t="s">
        <v>964</v>
      </c>
      <c r="D392" s="145" t="s">
        <v>965</v>
      </c>
      <c r="E392" s="179"/>
      <c r="F392" s="93"/>
      <c r="G392" s="41"/>
      <c r="H392" s="76"/>
      <c r="I392" s="94" t="b">
        <f>EXACT(C392,O392)</f>
        <v>1</v>
      </c>
      <c r="J392" s="94" t="b">
        <f>EXACT(D392,P392)</f>
        <v>1</v>
      </c>
      <c r="K392" s="94" t="s">
        <v>1568</v>
      </c>
      <c r="L392" s="94"/>
      <c r="M392" s="160" t="s">
        <v>958</v>
      </c>
      <c r="N392" s="169" t="s">
        <v>959</v>
      </c>
      <c r="O392" s="159" t="s">
        <v>964</v>
      </c>
      <c r="P392" s="189" t="s">
        <v>965</v>
      </c>
      <c r="Q392" s="130"/>
      <c r="R392" s="130"/>
      <c r="S392" s="130"/>
    </row>
    <row r="393" spans="1:19" s="75" customFormat="1" ht="24.9">
      <c r="A393" s="188" t="s">
        <v>958</v>
      </c>
      <c r="B393" s="147" t="s">
        <v>1048</v>
      </c>
      <c r="C393" s="144" t="s">
        <v>1057</v>
      </c>
      <c r="D393" s="145" t="s">
        <v>1058</v>
      </c>
      <c r="E393" s="97" t="s">
        <v>331</v>
      </c>
      <c r="F393" s="94"/>
      <c r="G393" s="94"/>
      <c r="H393" s="94"/>
      <c r="I393" s="94" t="b">
        <f>EXACT(C393,O393)</f>
        <v>1</v>
      </c>
      <c r="J393" s="94" t="b">
        <f>EXACT(D393,P393)</f>
        <v>1</v>
      </c>
      <c r="K393" s="94" t="s">
        <v>1568</v>
      </c>
      <c r="L393" s="94"/>
      <c r="M393" s="160" t="s">
        <v>958</v>
      </c>
      <c r="N393" s="160" t="s">
        <v>1048</v>
      </c>
      <c r="O393" s="159" t="s">
        <v>1057</v>
      </c>
      <c r="P393" s="189" t="s">
        <v>1058</v>
      </c>
      <c r="Q393" s="130"/>
      <c r="R393" s="130"/>
      <c r="S393" s="130"/>
    </row>
    <row r="394" spans="1:19" s="75" customFormat="1" ht="62.15">
      <c r="A394" s="188" t="s">
        <v>958</v>
      </c>
      <c r="B394" s="153" t="s">
        <v>959</v>
      </c>
      <c r="C394" s="144" t="s">
        <v>966</v>
      </c>
      <c r="D394" s="145" t="s">
        <v>967</v>
      </c>
      <c r="E394" s="179"/>
      <c r="F394" s="93"/>
      <c r="G394" s="41"/>
      <c r="H394" s="76"/>
      <c r="I394" s="94" t="b">
        <f>EXACT(C394,O394)</f>
        <v>1</v>
      </c>
      <c r="J394" s="94" t="b">
        <f>EXACT(D394,P394)</f>
        <v>1</v>
      </c>
      <c r="K394" s="94" t="s">
        <v>1568</v>
      </c>
      <c r="L394" s="94"/>
      <c r="M394" s="160" t="s">
        <v>958</v>
      </c>
      <c r="N394" s="169" t="s">
        <v>959</v>
      </c>
      <c r="O394" s="159" t="s">
        <v>966</v>
      </c>
      <c r="P394" s="189" t="s">
        <v>967</v>
      </c>
      <c r="Q394" s="130"/>
      <c r="R394" s="130"/>
      <c r="S394" s="130"/>
    </row>
    <row r="395" spans="1:19" s="75" customFormat="1" ht="29.15">
      <c r="A395" s="188"/>
      <c r="B395" s="153"/>
      <c r="C395" s="144"/>
      <c r="D395" s="145"/>
      <c r="E395" s="179"/>
      <c r="F395" s="93"/>
      <c r="G395" s="41"/>
      <c r="H395" s="76"/>
      <c r="I395" s="94" t="b">
        <f>EXACT(C395,O395)</f>
        <v>0</v>
      </c>
      <c r="J395" s="94" t="b">
        <f>EXACT(D395,P395)</f>
        <v>0</v>
      </c>
      <c r="K395" s="94" t="s">
        <v>1571</v>
      </c>
      <c r="L395" s="94" t="s">
        <v>1580</v>
      </c>
      <c r="M395" s="169" t="s">
        <v>958</v>
      </c>
      <c r="N395" s="169" t="s">
        <v>959</v>
      </c>
      <c r="O395" s="168" t="s">
        <v>1452</v>
      </c>
      <c r="P395" s="199" t="s">
        <v>1453</v>
      </c>
      <c r="Q395" s="130"/>
      <c r="R395" s="130"/>
      <c r="S395" s="130"/>
    </row>
    <row r="396" spans="1:19" s="75" customFormat="1" ht="29.15">
      <c r="A396" s="188"/>
      <c r="B396" s="153"/>
      <c r="C396" s="144"/>
      <c r="D396" s="145"/>
      <c r="E396" s="179"/>
      <c r="F396" s="93"/>
      <c r="G396" s="41"/>
      <c r="H396" s="76"/>
      <c r="I396" s="94" t="b">
        <f>EXACT(C396,O396)</f>
        <v>0</v>
      </c>
      <c r="J396" s="94" t="b">
        <f>EXACT(D396,P396)</f>
        <v>0</v>
      </c>
      <c r="K396" s="94" t="s">
        <v>1571</v>
      </c>
      <c r="L396" s="94" t="s">
        <v>1580</v>
      </c>
      <c r="M396" s="169" t="s">
        <v>958</v>
      </c>
      <c r="N396" s="169" t="s">
        <v>959</v>
      </c>
      <c r="O396" s="168" t="s">
        <v>1454</v>
      </c>
      <c r="P396" s="199" t="s">
        <v>1455</v>
      </c>
      <c r="Q396" s="130"/>
      <c r="R396" s="130"/>
      <c r="S396" s="130"/>
    </row>
    <row r="397" spans="1:19" s="75" customFormat="1" ht="29.15">
      <c r="A397" s="188"/>
      <c r="B397" s="153"/>
      <c r="C397" s="144"/>
      <c r="D397" s="145"/>
      <c r="E397" s="179"/>
      <c r="F397" s="93"/>
      <c r="G397" s="41"/>
      <c r="H397" s="76"/>
      <c r="I397" s="94" t="b">
        <f>EXACT(C397,O397)</f>
        <v>0</v>
      </c>
      <c r="J397" s="94" t="b">
        <f>EXACT(D397,P397)</f>
        <v>0</v>
      </c>
      <c r="K397" s="94" t="s">
        <v>1571</v>
      </c>
      <c r="L397" s="94" t="s">
        <v>1580</v>
      </c>
      <c r="M397" s="169" t="s">
        <v>958</v>
      </c>
      <c r="N397" s="169" t="s">
        <v>959</v>
      </c>
      <c r="O397" s="168" t="s">
        <v>1456</v>
      </c>
      <c r="P397" s="199" t="s">
        <v>1457</v>
      </c>
      <c r="Q397" s="130"/>
      <c r="R397" s="130"/>
      <c r="S397" s="130"/>
    </row>
    <row r="398" spans="1:19" s="75" customFormat="1" ht="87.45">
      <c r="A398" s="188"/>
      <c r="B398" s="153"/>
      <c r="C398" s="144"/>
      <c r="D398" s="145"/>
      <c r="E398" s="179"/>
      <c r="F398" s="93"/>
      <c r="G398" s="41"/>
      <c r="H398" s="76"/>
      <c r="I398" s="94" t="b">
        <f>EXACT(C398,O398)</f>
        <v>0</v>
      </c>
      <c r="J398" s="94" t="b">
        <f>EXACT(D398,P398)</f>
        <v>0</v>
      </c>
      <c r="K398" s="94" t="s">
        <v>1571</v>
      </c>
      <c r="L398" s="94" t="s">
        <v>1580</v>
      </c>
      <c r="M398" s="160" t="s">
        <v>958</v>
      </c>
      <c r="N398" s="167" t="s">
        <v>1401</v>
      </c>
      <c r="O398" s="168" t="s">
        <v>1459</v>
      </c>
      <c r="P398" s="200" t="s">
        <v>1460</v>
      </c>
      <c r="Q398" s="130"/>
      <c r="R398" s="130"/>
      <c r="S398" s="130"/>
    </row>
    <row r="399" spans="1:19" s="75" customFormat="1" ht="87.45">
      <c r="A399" s="188"/>
      <c r="B399" s="153"/>
      <c r="C399" s="144"/>
      <c r="D399" s="145"/>
      <c r="E399" s="179"/>
      <c r="F399" s="93"/>
      <c r="G399" s="41"/>
      <c r="H399" s="76"/>
      <c r="I399" s="94" t="b">
        <f>EXACT(C399,O399)</f>
        <v>0</v>
      </c>
      <c r="J399" s="94" t="b">
        <f>EXACT(D399,P399)</f>
        <v>0</v>
      </c>
      <c r="K399" s="94" t="s">
        <v>1571</v>
      </c>
      <c r="L399" s="94" t="s">
        <v>1580</v>
      </c>
      <c r="M399" s="160" t="s">
        <v>958</v>
      </c>
      <c r="N399" s="167" t="s">
        <v>1401</v>
      </c>
      <c r="O399" s="168" t="s">
        <v>1461</v>
      </c>
      <c r="P399" s="200" t="s">
        <v>1462</v>
      </c>
      <c r="Q399" s="130"/>
      <c r="R399" s="130"/>
      <c r="S399" s="130"/>
    </row>
    <row r="400" spans="1:19" s="75" customFormat="1" ht="87.45">
      <c r="A400" s="188"/>
      <c r="B400" s="153"/>
      <c r="C400" s="144"/>
      <c r="D400" s="145"/>
      <c r="E400" s="179"/>
      <c r="F400" s="93"/>
      <c r="G400" s="41"/>
      <c r="H400" s="76"/>
      <c r="I400" s="94" t="b">
        <f>EXACT(C400,O400)</f>
        <v>0</v>
      </c>
      <c r="J400" s="94" t="b">
        <f>EXACT(D400,P400)</f>
        <v>0</v>
      </c>
      <c r="K400" s="94" t="s">
        <v>1571</v>
      </c>
      <c r="L400" s="94" t="s">
        <v>1580</v>
      </c>
      <c r="M400" s="160" t="s">
        <v>958</v>
      </c>
      <c r="N400" s="167" t="s">
        <v>1401</v>
      </c>
      <c r="O400" s="168" t="s">
        <v>1463</v>
      </c>
      <c r="P400" s="200" t="s">
        <v>1464</v>
      </c>
      <c r="Q400" s="130"/>
      <c r="R400" s="130"/>
      <c r="S400" s="130"/>
    </row>
    <row r="401" spans="1:19" s="75" customFormat="1" ht="87.45">
      <c r="A401" s="188"/>
      <c r="B401" s="153"/>
      <c r="C401" s="144"/>
      <c r="D401" s="145"/>
      <c r="E401" s="179"/>
      <c r="F401" s="93"/>
      <c r="G401" s="41"/>
      <c r="H401" s="76"/>
      <c r="I401" s="94" t="b">
        <f>EXACT(C401,O401)</f>
        <v>0</v>
      </c>
      <c r="J401" s="94" t="b">
        <f>EXACT(D401,P401)</f>
        <v>0</v>
      </c>
      <c r="K401" s="94" t="s">
        <v>1571</v>
      </c>
      <c r="L401" s="94" t="s">
        <v>1580</v>
      </c>
      <c r="M401" s="160" t="s">
        <v>958</v>
      </c>
      <c r="N401" s="167" t="s">
        <v>1401</v>
      </c>
      <c r="O401" s="168" t="s">
        <v>1465</v>
      </c>
      <c r="P401" s="200" t="s">
        <v>1466</v>
      </c>
      <c r="Q401" s="131"/>
      <c r="R401" s="131"/>
      <c r="S401" s="131"/>
    </row>
    <row r="402" spans="1:19" s="75" customFormat="1" ht="87.45">
      <c r="A402" s="188"/>
      <c r="B402" s="153"/>
      <c r="C402" s="144"/>
      <c r="D402" s="145"/>
      <c r="E402" s="179"/>
      <c r="F402" s="93"/>
      <c r="G402" s="41"/>
      <c r="H402" s="76"/>
      <c r="I402" s="94" t="b">
        <f>EXACT(C402,O402)</f>
        <v>0</v>
      </c>
      <c r="J402" s="94" t="b">
        <f>EXACT(D402,P402)</f>
        <v>0</v>
      </c>
      <c r="K402" s="94" t="s">
        <v>1571</v>
      </c>
      <c r="L402" s="94" t="s">
        <v>1580</v>
      </c>
      <c r="M402" s="160" t="s">
        <v>958</v>
      </c>
      <c r="N402" s="167" t="s">
        <v>1401</v>
      </c>
      <c r="O402" s="168" t="s">
        <v>1467</v>
      </c>
      <c r="P402" s="200" t="s">
        <v>1468</v>
      </c>
      <c r="Q402" s="131"/>
      <c r="R402" s="131"/>
      <c r="S402" s="131"/>
    </row>
    <row r="403" spans="1:19" s="75" customFormat="1" ht="87.45">
      <c r="A403" s="188"/>
      <c r="B403" s="153"/>
      <c r="C403" s="144"/>
      <c r="D403" s="145"/>
      <c r="E403" s="179"/>
      <c r="F403" s="93"/>
      <c r="G403" s="41"/>
      <c r="H403" s="76"/>
      <c r="I403" s="94" t="b">
        <f>EXACT(C403,O403)</f>
        <v>0</v>
      </c>
      <c r="J403" s="94" t="b">
        <f>EXACT(D403,P403)</f>
        <v>0</v>
      </c>
      <c r="K403" s="94" t="s">
        <v>1571</v>
      </c>
      <c r="L403" s="94" t="s">
        <v>1580</v>
      </c>
      <c r="M403" s="160" t="s">
        <v>958</v>
      </c>
      <c r="N403" s="167" t="s">
        <v>1401</v>
      </c>
      <c r="O403" s="168" t="s">
        <v>1469</v>
      </c>
      <c r="P403" s="200" t="s">
        <v>1470</v>
      </c>
      <c r="Q403" s="130"/>
      <c r="R403" s="130"/>
      <c r="S403" s="130"/>
    </row>
    <row r="404" spans="1:19" s="75" customFormat="1" ht="87.45">
      <c r="A404" s="188"/>
      <c r="B404" s="153"/>
      <c r="C404" s="144"/>
      <c r="D404" s="145"/>
      <c r="E404" s="179"/>
      <c r="F404" s="93"/>
      <c r="G404" s="41"/>
      <c r="H404" s="76"/>
      <c r="I404" s="94" t="b">
        <f>EXACT(C404,O404)</f>
        <v>0</v>
      </c>
      <c r="J404" s="94" t="b">
        <f>EXACT(D404,P404)</f>
        <v>0</v>
      </c>
      <c r="K404" s="94" t="s">
        <v>1571</v>
      </c>
      <c r="L404" s="94" t="s">
        <v>1580</v>
      </c>
      <c r="M404" s="160" t="s">
        <v>958</v>
      </c>
      <c r="N404" s="167" t="s">
        <v>1401</v>
      </c>
      <c r="O404" s="168" t="s">
        <v>1471</v>
      </c>
      <c r="P404" s="200" t="s">
        <v>1472</v>
      </c>
      <c r="Q404" s="130"/>
      <c r="R404" s="130"/>
      <c r="S404" s="130"/>
    </row>
    <row r="405" spans="1:19" s="75" customFormat="1" ht="72.900000000000006">
      <c r="A405" s="188"/>
      <c r="B405" s="153"/>
      <c r="C405" s="144"/>
      <c r="D405" s="145"/>
      <c r="E405" s="179"/>
      <c r="F405" s="93"/>
      <c r="G405" s="41"/>
      <c r="H405" s="76"/>
      <c r="I405" s="94" t="b">
        <f>EXACT(C405,O405)</f>
        <v>0</v>
      </c>
      <c r="J405" s="94" t="b">
        <f>EXACT(D405,P405)</f>
        <v>0</v>
      </c>
      <c r="K405" s="94" t="s">
        <v>1571</v>
      </c>
      <c r="L405" s="94" t="s">
        <v>1580</v>
      </c>
      <c r="M405" s="160" t="s">
        <v>958</v>
      </c>
      <c r="N405" s="167" t="s">
        <v>1401</v>
      </c>
      <c r="O405" s="168" t="s">
        <v>1473</v>
      </c>
      <c r="P405" s="200" t="s">
        <v>1474</v>
      </c>
      <c r="Q405" s="130"/>
      <c r="R405" s="130"/>
      <c r="S405" s="130"/>
    </row>
    <row r="406" spans="1:19" s="75" customFormat="1" ht="87.45">
      <c r="A406" s="188"/>
      <c r="B406" s="153"/>
      <c r="C406" s="144"/>
      <c r="D406" s="145"/>
      <c r="E406" s="179"/>
      <c r="F406" s="93"/>
      <c r="G406" s="41"/>
      <c r="H406" s="76"/>
      <c r="I406" s="94" t="b">
        <f>EXACT(C406,O406)</f>
        <v>0</v>
      </c>
      <c r="J406" s="94" t="b">
        <f>EXACT(D406,P406)</f>
        <v>0</v>
      </c>
      <c r="K406" s="94" t="s">
        <v>1571</v>
      </c>
      <c r="L406" s="94" t="s">
        <v>1580</v>
      </c>
      <c r="M406" s="160" t="s">
        <v>958</v>
      </c>
      <c r="N406" s="167" t="s">
        <v>1418</v>
      </c>
      <c r="O406" s="168" t="s">
        <v>1475</v>
      </c>
      <c r="P406" s="200" t="s">
        <v>1476</v>
      </c>
      <c r="Q406" s="130"/>
      <c r="R406" s="130"/>
      <c r="S406" s="130"/>
    </row>
    <row r="407" spans="1:19" s="75" customFormat="1" ht="87.45">
      <c r="A407" s="188"/>
      <c r="B407" s="153"/>
      <c r="C407" s="144"/>
      <c r="D407" s="145"/>
      <c r="E407" s="179"/>
      <c r="F407" s="93"/>
      <c r="G407" s="41"/>
      <c r="H407" s="76"/>
      <c r="I407" s="94" t="b">
        <f>EXACT(C407,O407)</f>
        <v>0</v>
      </c>
      <c r="J407" s="94" t="b">
        <f>EXACT(D407,P407)</f>
        <v>0</v>
      </c>
      <c r="K407" s="94" t="s">
        <v>1571</v>
      </c>
      <c r="L407" s="94" t="s">
        <v>1580</v>
      </c>
      <c r="M407" s="160" t="s">
        <v>958</v>
      </c>
      <c r="N407" s="167" t="s">
        <v>1418</v>
      </c>
      <c r="O407" s="168" t="s">
        <v>1477</v>
      </c>
      <c r="P407" s="200" t="s">
        <v>1478</v>
      </c>
      <c r="Q407" s="130"/>
      <c r="R407" s="130"/>
      <c r="S407" s="130"/>
    </row>
    <row r="408" spans="1:19" s="75" customFormat="1" ht="87.45">
      <c r="A408" s="188"/>
      <c r="B408" s="153"/>
      <c r="C408" s="144"/>
      <c r="D408" s="145"/>
      <c r="E408" s="179"/>
      <c r="F408" s="93"/>
      <c r="G408" s="41"/>
      <c r="H408" s="76"/>
      <c r="I408" s="94" t="b">
        <f>EXACT(C408,O408)</f>
        <v>0</v>
      </c>
      <c r="J408" s="94" t="b">
        <f>EXACT(D408,P408)</f>
        <v>0</v>
      </c>
      <c r="K408" s="94" t="s">
        <v>1571</v>
      </c>
      <c r="L408" s="94" t="s">
        <v>1580</v>
      </c>
      <c r="M408" s="160" t="s">
        <v>958</v>
      </c>
      <c r="N408" s="167" t="s">
        <v>1418</v>
      </c>
      <c r="O408" s="168" t="s">
        <v>1479</v>
      </c>
      <c r="P408" s="200" t="s">
        <v>1480</v>
      </c>
      <c r="Q408" s="130"/>
      <c r="R408" s="130"/>
      <c r="S408" s="130"/>
    </row>
    <row r="409" spans="1:19" s="75" customFormat="1" ht="99.45">
      <c r="A409" s="188" t="s">
        <v>958</v>
      </c>
      <c r="B409" s="147" t="s">
        <v>989</v>
      </c>
      <c r="C409" s="144" t="s">
        <v>1025</v>
      </c>
      <c r="D409" s="145" t="s">
        <v>1026</v>
      </c>
      <c r="E409" s="97" t="s">
        <v>331</v>
      </c>
      <c r="F409" s="94"/>
      <c r="G409" s="94"/>
      <c r="H409" s="94"/>
      <c r="I409" s="94" t="b">
        <f>EXACT(C409,O409)</f>
        <v>1</v>
      </c>
      <c r="J409" s="94" t="b">
        <f>EXACT(D409,P409)</f>
        <v>1</v>
      </c>
      <c r="K409" s="94" t="s">
        <v>1568</v>
      </c>
      <c r="L409" s="94"/>
      <c r="M409" s="160" t="s">
        <v>958</v>
      </c>
      <c r="N409" s="160" t="s">
        <v>1511</v>
      </c>
      <c r="O409" s="159" t="s">
        <v>1025</v>
      </c>
      <c r="P409" s="189" t="s">
        <v>1026</v>
      </c>
      <c r="Q409" s="130"/>
      <c r="R409" s="130"/>
      <c r="S409" s="130"/>
    </row>
    <row r="410" spans="1:19" s="75" customFormat="1" ht="87.45">
      <c r="A410" s="188"/>
      <c r="B410" s="147"/>
      <c r="C410" s="144"/>
      <c r="D410" s="145"/>
      <c r="E410" s="97"/>
      <c r="F410" s="94"/>
      <c r="G410" s="94"/>
      <c r="H410" s="94"/>
      <c r="I410" s="94" t="b">
        <f>EXACT(C410,O410)</f>
        <v>0</v>
      </c>
      <c r="J410" s="94" t="b">
        <f>EXACT(D410,P410)</f>
        <v>0</v>
      </c>
      <c r="K410" s="94" t="s">
        <v>1571</v>
      </c>
      <c r="L410" s="94" t="s">
        <v>1580</v>
      </c>
      <c r="M410" s="160" t="s">
        <v>958</v>
      </c>
      <c r="N410" s="167" t="s">
        <v>1418</v>
      </c>
      <c r="O410" s="168" t="s">
        <v>1481</v>
      </c>
      <c r="P410" s="200" t="s">
        <v>1482</v>
      </c>
      <c r="Q410" s="130"/>
      <c r="R410" s="130"/>
      <c r="S410" s="130"/>
    </row>
    <row r="411" spans="1:19" s="75" customFormat="1" ht="72.900000000000006">
      <c r="A411" s="188"/>
      <c r="B411" s="147"/>
      <c r="C411" s="144"/>
      <c r="D411" s="145"/>
      <c r="E411" s="97"/>
      <c r="F411" s="94"/>
      <c r="G411" s="94"/>
      <c r="H411" s="94"/>
      <c r="I411" s="94" t="b">
        <f>EXACT(C411,O411)</f>
        <v>0</v>
      </c>
      <c r="J411" s="94" t="b">
        <f>EXACT(D411,P411)</f>
        <v>0</v>
      </c>
      <c r="K411" s="94" t="s">
        <v>1571</v>
      </c>
      <c r="L411" s="94" t="s">
        <v>1580</v>
      </c>
      <c r="M411" s="160" t="s">
        <v>958</v>
      </c>
      <c r="N411" s="167" t="s">
        <v>1418</v>
      </c>
      <c r="O411" s="168" t="s">
        <v>1483</v>
      </c>
      <c r="P411" s="200" t="s">
        <v>1484</v>
      </c>
      <c r="Q411" s="130"/>
      <c r="R411" s="130"/>
      <c r="S411" s="130"/>
    </row>
    <row r="412" spans="1:19" s="75" customFormat="1" ht="72.900000000000006">
      <c r="A412" s="188"/>
      <c r="B412" s="147"/>
      <c r="C412" s="144"/>
      <c r="D412" s="145"/>
      <c r="E412" s="97"/>
      <c r="F412" s="94"/>
      <c r="G412" s="94"/>
      <c r="H412" s="94"/>
      <c r="I412" s="94" t="b">
        <f>EXACT(C412,O412)</f>
        <v>0</v>
      </c>
      <c r="J412" s="94" t="b">
        <f>EXACT(D412,P412)</f>
        <v>0</v>
      </c>
      <c r="K412" s="94" t="s">
        <v>1571</v>
      </c>
      <c r="L412" s="94" t="s">
        <v>1580</v>
      </c>
      <c r="M412" s="160" t="s">
        <v>958</v>
      </c>
      <c r="N412" s="167" t="s">
        <v>1418</v>
      </c>
      <c r="O412" s="168" t="s">
        <v>1485</v>
      </c>
      <c r="P412" s="200" t="s">
        <v>1486</v>
      </c>
      <c r="Q412" s="130"/>
      <c r="R412" s="130"/>
      <c r="S412" s="130"/>
    </row>
    <row r="413" spans="1:19" s="75" customFormat="1" ht="72.900000000000006">
      <c r="A413" s="188"/>
      <c r="B413" s="147"/>
      <c r="C413" s="144"/>
      <c r="D413" s="145"/>
      <c r="E413" s="97"/>
      <c r="F413" s="94"/>
      <c r="G413" s="94"/>
      <c r="H413" s="94"/>
      <c r="I413" s="94" t="b">
        <f>EXACT(C413,O413)</f>
        <v>0</v>
      </c>
      <c r="J413" s="94" t="b">
        <f>EXACT(D413,P413)</f>
        <v>0</v>
      </c>
      <c r="K413" s="94" t="s">
        <v>1571</v>
      </c>
      <c r="L413" s="94" t="s">
        <v>1580</v>
      </c>
      <c r="M413" s="160" t="s">
        <v>958</v>
      </c>
      <c r="N413" s="167" t="s">
        <v>1418</v>
      </c>
      <c r="O413" s="168" t="s">
        <v>1487</v>
      </c>
      <c r="P413" s="200" t="s">
        <v>1488</v>
      </c>
      <c r="Q413" s="130"/>
      <c r="R413" s="130"/>
      <c r="S413" s="130"/>
    </row>
    <row r="414" spans="1:19" s="75" customFormat="1" ht="87.45">
      <c r="A414" s="188"/>
      <c r="B414" s="147"/>
      <c r="C414" s="144"/>
      <c r="D414" s="145"/>
      <c r="E414" s="97"/>
      <c r="F414" s="94"/>
      <c r="G414" s="94"/>
      <c r="H414" s="94"/>
      <c r="I414" s="94" t="b">
        <f>EXACT(C414,O414)</f>
        <v>0</v>
      </c>
      <c r="J414" s="94" t="b">
        <f>EXACT(D414,P414)</f>
        <v>0</v>
      </c>
      <c r="K414" s="94" t="s">
        <v>1571</v>
      </c>
      <c r="L414" s="94" t="s">
        <v>1580</v>
      </c>
      <c r="M414" s="160" t="s">
        <v>958</v>
      </c>
      <c r="N414" s="167" t="s">
        <v>1418</v>
      </c>
      <c r="O414" s="168" t="s">
        <v>1489</v>
      </c>
      <c r="P414" s="200" t="s">
        <v>1490</v>
      </c>
      <c r="Q414" s="130"/>
      <c r="R414" s="130"/>
      <c r="S414" s="130"/>
    </row>
    <row r="415" spans="1:19" s="75" customFormat="1" ht="87.45">
      <c r="A415" s="188"/>
      <c r="B415" s="147"/>
      <c r="C415" s="144"/>
      <c r="D415" s="145"/>
      <c r="E415" s="97"/>
      <c r="F415" s="94"/>
      <c r="G415" s="94"/>
      <c r="H415" s="94"/>
      <c r="I415" s="94" t="b">
        <f>EXACT(C415,O415)</f>
        <v>0</v>
      </c>
      <c r="J415" s="94" t="b">
        <f>EXACT(D415,P415)</f>
        <v>0</v>
      </c>
      <c r="K415" s="94" t="s">
        <v>1571</v>
      </c>
      <c r="L415" s="94" t="s">
        <v>1580</v>
      </c>
      <c r="M415" s="160" t="s">
        <v>958</v>
      </c>
      <c r="N415" s="167" t="s">
        <v>1418</v>
      </c>
      <c r="O415" s="168" t="s">
        <v>1491</v>
      </c>
      <c r="P415" s="200" t="s">
        <v>1492</v>
      </c>
      <c r="Q415" s="130"/>
      <c r="R415" s="130"/>
      <c r="S415" s="130"/>
    </row>
    <row r="416" spans="1:19" s="75" customFormat="1" ht="72.900000000000006">
      <c r="A416" s="188"/>
      <c r="B416" s="147"/>
      <c r="C416" s="144"/>
      <c r="D416" s="145"/>
      <c r="E416" s="97"/>
      <c r="F416" s="94"/>
      <c r="G416" s="94"/>
      <c r="H416" s="94"/>
      <c r="I416" s="94" t="b">
        <f>EXACT(C416,O416)</f>
        <v>0</v>
      </c>
      <c r="J416" s="94" t="b">
        <f>EXACT(D416,P416)</f>
        <v>0</v>
      </c>
      <c r="K416" s="94" t="s">
        <v>1571</v>
      </c>
      <c r="L416" s="94" t="s">
        <v>1580</v>
      </c>
      <c r="M416" s="160" t="s">
        <v>958</v>
      </c>
      <c r="N416" s="167" t="s">
        <v>1436</v>
      </c>
      <c r="O416" s="168" t="s">
        <v>1493</v>
      </c>
      <c r="P416" s="200" t="s">
        <v>1494</v>
      </c>
      <c r="Q416" s="134"/>
      <c r="R416" s="134"/>
      <c r="S416" s="134"/>
    </row>
    <row r="417" spans="1:19" s="75" customFormat="1" ht="87.45">
      <c r="A417" s="188"/>
      <c r="B417" s="147"/>
      <c r="C417" s="144"/>
      <c r="D417" s="145"/>
      <c r="E417" s="97"/>
      <c r="F417" s="94"/>
      <c r="G417" s="94"/>
      <c r="H417" s="94"/>
      <c r="I417" s="94" t="b">
        <f>EXACT(C417,O417)</f>
        <v>0</v>
      </c>
      <c r="J417" s="94" t="b">
        <f>EXACT(D417,P417)</f>
        <v>0</v>
      </c>
      <c r="K417" s="94" t="s">
        <v>1571</v>
      </c>
      <c r="L417" s="94" t="s">
        <v>1580</v>
      </c>
      <c r="M417" s="160" t="s">
        <v>958</v>
      </c>
      <c r="N417" s="167" t="s">
        <v>1436</v>
      </c>
      <c r="O417" s="168" t="s">
        <v>1495</v>
      </c>
      <c r="P417" s="200" t="s">
        <v>1496</v>
      </c>
      <c r="Q417" s="130"/>
      <c r="R417" s="130"/>
      <c r="S417" s="130"/>
    </row>
    <row r="418" spans="1:19" s="75" customFormat="1" ht="87.45">
      <c r="A418" s="188"/>
      <c r="B418" s="147"/>
      <c r="C418" s="144"/>
      <c r="D418" s="145"/>
      <c r="E418" s="97"/>
      <c r="F418" s="94"/>
      <c r="G418" s="94"/>
      <c r="H418" s="94"/>
      <c r="I418" s="94" t="b">
        <f>EXACT(C418,O418)</f>
        <v>0</v>
      </c>
      <c r="J418" s="94" t="b">
        <f>EXACT(D418,P418)</f>
        <v>0</v>
      </c>
      <c r="K418" s="94" t="s">
        <v>1571</v>
      </c>
      <c r="L418" s="94" t="s">
        <v>1580</v>
      </c>
      <c r="M418" s="160" t="s">
        <v>958</v>
      </c>
      <c r="N418" s="167" t="s">
        <v>1436</v>
      </c>
      <c r="O418" s="168" t="s">
        <v>1497</v>
      </c>
      <c r="P418" s="200" t="s">
        <v>1498</v>
      </c>
      <c r="Q418" s="130"/>
      <c r="R418" s="130"/>
      <c r="S418" s="130"/>
    </row>
    <row r="419" spans="1:19" s="75" customFormat="1" ht="72.900000000000006">
      <c r="A419" s="188"/>
      <c r="B419" s="147"/>
      <c r="C419" s="144"/>
      <c r="D419" s="145"/>
      <c r="E419" s="97"/>
      <c r="F419" s="94"/>
      <c r="G419" s="94"/>
      <c r="H419" s="94"/>
      <c r="I419" s="94" t="b">
        <f>EXACT(C419,O419)</f>
        <v>0</v>
      </c>
      <c r="J419" s="94" t="b">
        <f>EXACT(D419,P419)</f>
        <v>0</v>
      </c>
      <c r="K419" s="94" t="s">
        <v>1571</v>
      </c>
      <c r="L419" s="94" t="s">
        <v>1580</v>
      </c>
      <c r="M419" s="160" t="s">
        <v>958</v>
      </c>
      <c r="N419" s="167" t="s">
        <v>1436</v>
      </c>
      <c r="O419" s="168" t="s">
        <v>1499</v>
      </c>
      <c r="P419" s="200" t="s">
        <v>1500</v>
      </c>
      <c r="Q419" s="130"/>
      <c r="R419" s="130"/>
      <c r="S419" s="130"/>
    </row>
    <row r="420" spans="1:19" s="75" customFormat="1" ht="99.45">
      <c r="A420" s="188" t="s">
        <v>958</v>
      </c>
      <c r="B420" s="147" t="s">
        <v>989</v>
      </c>
      <c r="C420" s="144" t="s">
        <v>1027</v>
      </c>
      <c r="D420" s="145" t="s">
        <v>1028</v>
      </c>
      <c r="E420" s="97" t="s">
        <v>331</v>
      </c>
      <c r="F420" s="94"/>
      <c r="G420" s="94"/>
      <c r="H420" s="94"/>
      <c r="I420" s="94" t="b">
        <f>EXACT(C420,O420)</f>
        <v>1</v>
      </c>
      <c r="J420" s="94" t="b">
        <f>EXACT(D420,P420)</f>
        <v>1</v>
      </c>
      <c r="K420" s="94" t="s">
        <v>1568</v>
      </c>
      <c r="L420" s="94"/>
      <c r="M420" s="160" t="s">
        <v>958</v>
      </c>
      <c r="N420" s="160" t="s">
        <v>1511</v>
      </c>
      <c r="O420" s="159" t="s">
        <v>1027</v>
      </c>
      <c r="P420" s="189" t="s">
        <v>1028</v>
      </c>
      <c r="Q420" s="130"/>
      <c r="R420" s="130"/>
      <c r="S420" s="130"/>
    </row>
    <row r="421" spans="1:19" s="75" customFormat="1" ht="72.900000000000006">
      <c r="A421" s="188"/>
      <c r="B421" s="147"/>
      <c r="C421" s="144"/>
      <c r="D421" s="145"/>
      <c r="E421" s="97"/>
      <c r="F421" s="94"/>
      <c r="G421" s="94"/>
      <c r="H421" s="94"/>
      <c r="I421" s="94" t="b">
        <f>EXACT(C421,O421)</f>
        <v>0</v>
      </c>
      <c r="J421" s="94" t="b">
        <f>EXACT(D421,P421)</f>
        <v>0</v>
      </c>
      <c r="K421" s="94" t="s">
        <v>1571</v>
      </c>
      <c r="L421" s="94" t="s">
        <v>1580</v>
      </c>
      <c r="M421" s="160" t="s">
        <v>958</v>
      </c>
      <c r="N421" s="167" t="s">
        <v>1443</v>
      </c>
      <c r="O421" s="168" t="s">
        <v>1501</v>
      </c>
      <c r="P421" s="200" t="s">
        <v>1502</v>
      </c>
      <c r="Q421" s="130"/>
      <c r="R421" s="130"/>
      <c r="S421" s="130"/>
    </row>
    <row r="422" spans="1:19" s="75" customFormat="1" ht="87.45">
      <c r="A422" s="188"/>
      <c r="B422" s="147"/>
      <c r="C422" s="144"/>
      <c r="D422" s="145"/>
      <c r="E422" s="97"/>
      <c r="F422" s="94"/>
      <c r="G422" s="94"/>
      <c r="H422" s="94"/>
      <c r="I422" s="94" t="b">
        <f>EXACT(C422,O422)</f>
        <v>0</v>
      </c>
      <c r="J422" s="94" t="b">
        <f>EXACT(D422,P422)</f>
        <v>0</v>
      </c>
      <c r="K422" s="94" t="s">
        <v>1571</v>
      </c>
      <c r="L422" s="94" t="s">
        <v>1580</v>
      </c>
      <c r="M422" s="160" t="s">
        <v>958</v>
      </c>
      <c r="N422" s="167" t="s">
        <v>1443</v>
      </c>
      <c r="O422" s="168" t="s">
        <v>1503</v>
      </c>
      <c r="P422" s="200" t="s">
        <v>1504</v>
      </c>
      <c r="Q422" s="134"/>
      <c r="R422" s="134"/>
      <c r="S422" s="134"/>
    </row>
    <row r="423" spans="1:19" s="75" customFormat="1" ht="72.900000000000006">
      <c r="A423" s="188"/>
      <c r="B423" s="147"/>
      <c r="C423" s="144"/>
      <c r="D423" s="145"/>
      <c r="E423" s="97"/>
      <c r="F423" s="94"/>
      <c r="G423" s="94"/>
      <c r="H423" s="94"/>
      <c r="I423" s="94" t="b">
        <f>EXACT(C423,O423)</f>
        <v>0</v>
      </c>
      <c r="J423" s="94" t="b">
        <f>EXACT(D423,P423)</f>
        <v>0</v>
      </c>
      <c r="K423" s="94" t="s">
        <v>1571</v>
      </c>
      <c r="L423" s="94" t="s">
        <v>1580</v>
      </c>
      <c r="M423" s="160" t="s">
        <v>958</v>
      </c>
      <c r="N423" s="167" t="s">
        <v>1443</v>
      </c>
      <c r="O423" s="168" t="s">
        <v>1505</v>
      </c>
      <c r="P423" s="200" t="s">
        <v>1506</v>
      </c>
      <c r="Q423" s="134"/>
      <c r="R423" s="134"/>
      <c r="S423" s="134"/>
    </row>
    <row r="424" spans="1:19" s="75" customFormat="1" ht="58.3">
      <c r="A424" s="188"/>
      <c r="B424" s="147"/>
      <c r="C424" s="144"/>
      <c r="D424" s="145"/>
      <c r="E424" s="97"/>
      <c r="F424" s="94"/>
      <c r="G424" s="94"/>
      <c r="H424" s="94"/>
      <c r="I424" s="94" t="b">
        <f>EXACT(C424,O424)</f>
        <v>0</v>
      </c>
      <c r="J424" s="94" t="b">
        <f>EXACT(D424,P424)</f>
        <v>0</v>
      </c>
      <c r="K424" s="94" t="s">
        <v>1571</v>
      </c>
      <c r="L424" s="94" t="s">
        <v>1580</v>
      </c>
      <c r="M424" s="160" t="s">
        <v>958</v>
      </c>
      <c r="N424" s="167" t="s">
        <v>1443</v>
      </c>
      <c r="O424" s="168" t="s">
        <v>1507</v>
      </c>
      <c r="P424" s="200" t="s">
        <v>1508</v>
      </c>
      <c r="Q424" s="134"/>
      <c r="R424" s="134"/>
      <c r="S424" s="134"/>
    </row>
    <row r="425" spans="1:19" s="75" customFormat="1" ht="58.3">
      <c r="A425" s="188"/>
      <c r="B425" s="147"/>
      <c r="C425" s="144"/>
      <c r="D425" s="145"/>
      <c r="E425" s="97"/>
      <c r="F425" s="94"/>
      <c r="G425" s="94"/>
      <c r="H425" s="94"/>
      <c r="I425" s="94" t="b">
        <f>EXACT(C425,O425)</f>
        <v>0</v>
      </c>
      <c r="J425" s="94" t="b">
        <f>EXACT(D425,P425)</f>
        <v>0</v>
      </c>
      <c r="K425" s="94" t="s">
        <v>1571</v>
      </c>
      <c r="L425" s="94" t="s">
        <v>1580</v>
      </c>
      <c r="M425" s="160" t="s">
        <v>958</v>
      </c>
      <c r="N425" s="167" t="s">
        <v>1443</v>
      </c>
      <c r="O425" s="168" t="s">
        <v>1509</v>
      </c>
      <c r="P425" s="200" t="s">
        <v>1510</v>
      </c>
      <c r="Q425" s="134"/>
      <c r="R425" s="134"/>
      <c r="S425" s="134"/>
    </row>
    <row r="426" spans="1:19" s="75" customFormat="1" ht="14.6">
      <c r="A426" s="188" t="s">
        <v>1085</v>
      </c>
      <c r="B426" s="147" t="s">
        <v>1086</v>
      </c>
      <c r="C426" s="144" t="s">
        <v>1087</v>
      </c>
      <c r="D426" s="145" t="s">
        <v>1088</v>
      </c>
      <c r="E426" s="97"/>
      <c r="F426" s="94"/>
      <c r="G426" s="94"/>
      <c r="H426" s="94"/>
      <c r="I426" s="94" t="b">
        <f>EXACT(C426,O426)</f>
        <v>1</v>
      </c>
      <c r="J426" s="94" t="b">
        <f>EXACT(D426,P426)</f>
        <v>1</v>
      </c>
      <c r="K426" s="94" t="s">
        <v>1568</v>
      </c>
      <c r="L426" s="94"/>
      <c r="M426" s="160" t="s">
        <v>1085</v>
      </c>
      <c r="N426" s="160" t="s">
        <v>1086</v>
      </c>
      <c r="O426" s="159" t="s">
        <v>1087</v>
      </c>
      <c r="P426" s="189" t="s">
        <v>1088</v>
      </c>
      <c r="Q426" s="134"/>
      <c r="R426" s="134"/>
      <c r="S426" s="134"/>
    </row>
    <row r="427" spans="1:19" s="75" customFormat="1" ht="149.15">
      <c r="A427" s="188" t="s">
        <v>1085</v>
      </c>
      <c r="B427" s="147" t="s">
        <v>1089</v>
      </c>
      <c r="C427" s="144" t="s">
        <v>1090</v>
      </c>
      <c r="D427" s="145" t="s">
        <v>1091</v>
      </c>
      <c r="E427" s="41"/>
      <c r="F427" s="93"/>
      <c r="G427" s="41"/>
      <c r="H427" s="76"/>
      <c r="I427" s="94" t="b">
        <f>EXACT(C427,O427)</f>
        <v>1</v>
      </c>
      <c r="J427" s="94" t="b">
        <f>EXACT(D427,P427)</f>
        <v>1</v>
      </c>
      <c r="K427" s="94" t="s">
        <v>1568</v>
      </c>
      <c r="L427" s="94"/>
      <c r="M427" s="160" t="s">
        <v>1085</v>
      </c>
      <c r="N427" s="160" t="s">
        <v>1089</v>
      </c>
      <c r="O427" s="159" t="s">
        <v>1090</v>
      </c>
      <c r="P427" s="189" t="s">
        <v>1091</v>
      </c>
      <c r="Q427" s="134"/>
      <c r="R427" s="134"/>
      <c r="S427" s="134"/>
    </row>
    <row r="428" spans="1:19" s="75" customFormat="1" ht="24.9">
      <c r="A428" s="188" t="s">
        <v>1072</v>
      </c>
      <c r="B428" s="147" t="s">
        <v>1073</v>
      </c>
      <c r="C428" s="144" t="s">
        <v>1074</v>
      </c>
      <c r="D428" s="145" t="s">
        <v>1075</v>
      </c>
      <c r="E428" s="97"/>
      <c r="F428" s="94"/>
      <c r="G428" s="94"/>
      <c r="H428" s="94"/>
      <c r="I428" s="94" t="b">
        <f>EXACT(C428,O428)</f>
        <v>1</v>
      </c>
      <c r="J428" s="94" t="b">
        <f>EXACT(D428,P428)</f>
        <v>1</v>
      </c>
      <c r="K428" s="94" t="s">
        <v>1568</v>
      </c>
      <c r="L428" s="94"/>
      <c r="M428" s="160" t="s">
        <v>1072</v>
      </c>
      <c r="N428" s="160" t="s">
        <v>1073</v>
      </c>
      <c r="O428" s="159" t="s">
        <v>1074</v>
      </c>
      <c r="P428" s="189" t="s">
        <v>1075</v>
      </c>
      <c r="Q428" s="134"/>
      <c r="R428" s="134"/>
      <c r="S428" s="134"/>
    </row>
    <row r="429" spans="1:19" s="75" customFormat="1" ht="24.9">
      <c r="A429" s="188" t="s">
        <v>1072</v>
      </c>
      <c r="B429" s="147" t="s">
        <v>1073</v>
      </c>
      <c r="C429" s="144" t="s">
        <v>1076</v>
      </c>
      <c r="D429" s="145" t="s">
        <v>1077</v>
      </c>
      <c r="E429" s="97"/>
      <c r="F429" s="94"/>
      <c r="G429" s="94"/>
      <c r="H429" s="94"/>
      <c r="I429" s="94" t="b">
        <f>EXACT(C429,O429)</f>
        <v>1</v>
      </c>
      <c r="J429" s="94" t="b">
        <f>EXACT(D429,P429)</f>
        <v>1</v>
      </c>
      <c r="K429" s="94" t="s">
        <v>1568</v>
      </c>
      <c r="L429" s="94"/>
      <c r="M429" s="160" t="s">
        <v>1072</v>
      </c>
      <c r="N429" s="160" t="s">
        <v>1073</v>
      </c>
      <c r="O429" s="159" t="s">
        <v>1076</v>
      </c>
      <c r="P429" s="189" t="s">
        <v>1077</v>
      </c>
      <c r="Q429" s="134"/>
      <c r="R429" s="134"/>
      <c r="S429" s="134"/>
    </row>
    <row r="430" spans="1:19" s="75" customFormat="1" ht="24.9">
      <c r="A430" s="188" t="s">
        <v>1072</v>
      </c>
      <c r="B430" s="147" t="s">
        <v>1073</v>
      </c>
      <c r="C430" s="144" t="s">
        <v>1078</v>
      </c>
      <c r="D430" s="145" t="s">
        <v>1079</v>
      </c>
      <c r="E430" s="97"/>
      <c r="F430" s="94"/>
      <c r="G430" s="94"/>
      <c r="H430" s="94"/>
      <c r="I430" s="94" t="b">
        <f>EXACT(C430,O430)</f>
        <v>1</v>
      </c>
      <c r="J430" s="94" t="b">
        <f>EXACT(D430,P430)</f>
        <v>1</v>
      </c>
      <c r="K430" s="94" t="s">
        <v>1568</v>
      </c>
      <c r="L430" s="94"/>
      <c r="M430" s="160" t="s">
        <v>1072</v>
      </c>
      <c r="N430" s="160" t="s">
        <v>1073</v>
      </c>
      <c r="O430" s="159" t="s">
        <v>1078</v>
      </c>
      <c r="P430" s="189" t="s">
        <v>1079</v>
      </c>
      <c r="Q430" s="134"/>
      <c r="R430" s="134"/>
      <c r="S430" s="134"/>
    </row>
    <row r="431" spans="1:19" s="75" customFormat="1" ht="24.9">
      <c r="A431" s="188" t="s">
        <v>1072</v>
      </c>
      <c r="B431" s="147" t="s">
        <v>1073</v>
      </c>
      <c r="C431" s="144" t="s">
        <v>1080</v>
      </c>
      <c r="D431" s="145" t="s">
        <v>1081</v>
      </c>
      <c r="E431" s="97"/>
      <c r="F431" s="94"/>
      <c r="G431" s="94"/>
      <c r="H431" s="94"/>
      <c r="I431" s="94" t="b">
        <f>EXACT(C431,O431)</f>
        <v>1</v>
      </c>
      <c r="J431" s="94" t="b">
        <f>EXACT(D431,P431)</f>
        <v>1</v>
      </c>
      <c r="K431" s="94" t="s">
        <v>1568</v>
      </c>
      <c r="L431" s="94"/>
      <c r="M431" s="160" t="s">
        <v>1072</v>
      </c>
      <c r="N431" s="160" t="s">
        <v>1073</v>
      </c>
      <c r="O431" s="159" t="s">
        <v>1080</v>
      </c>
      <c r="P431" s="189" t="s">
        <v>1081</v>
      </c>
      <c r="Q431" s="134"/>
      <c r="R431" s="134"/>
      <c r="S431" s="134"/>
    </row>
    <row r="432" spans="1:19" s="75" customFormat="1" ht="49.75">
      <c r="A432" s="196" t="s">
        <v>1072</v>
      </c>
      <c r="B432" s="153" t="s">
        <v>1082</v>
      </c>
      <c r="C432" s="144" t="s">
        <v>1083</v>
      </c>
      <c r="D432" s="145" t="s">
        <v>1084</v>
      </c>
      <c r="E432" s="41"/>
      <c r="F432" s="93"/>
      <c r="G432" s="41"/>
      <c r="H432" s="76"/>
      <c r="I432" s="94" t="b">
        <f>EXACT(C432,O432)</f>
        <v>1</v>
      </c>
      <c r="J432" s="94" t="b">
        <f>EXACT(D432,P432)</f>
        <v>1</v>
      </c>
      <c r="K432" s="94" t="s">
        <v>1568</v>
      </c>
      <c r="L432" s="94"/>
      <c r="M432" s="166" t="s">
        <v>1072</v>
      </c>
      <c r="N432" s="166" t="s">
        <v>1082</v>
      </c>
      <c r="O432" s="159" t="s">
        <v>1083</v>
      </c>
      <c r="P432" s="189" t="s">
        <v>1084</v>
      </c>
      <c r="Q432" s="134"/>
      <c r="R432" s="134"/>
      <c r="S432" s="134"/>
    </row>
    <row r="433" spans="1:19" s="75" customFormat="1" ht="14.6">
      <c r="A433" s="188" t="s">
        <v>1092</v>
      </c>
      <c r="B433" s="147" t="s">
        <v>1093</v>
      </c>
      <c r="C433" s="144" t="s">
        <v>1094</v>
      </c>
      <c r="D433" s="145" t="s">
        <v>1095</v>
      </c>
      <c r="E433" s="97"/>
      <c r="F433" s="94"/>
      <c r="G433" s="94"/>
      <c r="H433" s="94"/>
      <c r="I433" s="94" t="b">
        <f>EXACT(C433,O433)</f>
        <v>1</v>
      </c>
      <c r="J433" s="94" t="b">
        <f>EXACT(D433,P433)</f>
        <v>1</v>
      </c>
      <c r="K433" s="94" t="s">
        <v>1568</v>
      </c>
      <c r="L433" s="94"/>
      <c r="M433" s="160" t="s">
        <v>1092</v>
      </c>
      <c r="N433" s="160" t="s">
        <v>1093</v>
      </c>
      <c r="O433" s="159" t="s">
        <v>1094</v>
      </c>
      <c r="P433" s="189" t="s">
        <v>1095</v>
      </c>
      <c r="Q433" s="130"/>
      <c r="R433" s="130"/>
      <c r="S433" s="130"/>
    </row>
    <row r="434" spans="1:19" s="75" customFormat="1" ht="14.6">
      <c r="A434" s="188" t="s">
        <v>1092</v>
      </c>
      <c r="B434" s="147" t="s">
        <v>1093</v>
      </c>
      <c r="C434" s="144" t="s">
        <v>1096</v>
      </c>
      <c r="D434" s="154" t="s">
        <v>1097</v>
      </c>
      <c r="E434" s="97"/>
      <c r="F434" s="94"/>
      <c r="G434" s="94"/>
      <c r="H434" s="94"/>
      <c r="I434" s="94" t="b">
        <f>EXACT(C434,O434)</f>
        <v>1</v>
      </c>
      <c r="J434" s="94" t="b">
        <f>EXACT(D434,P434)</f>
        <v>1</v>
      </c>
      <c r="K434" s="94" t="s">
        <v>1568</v>
      </c>
      <c r="L434" s="94"/>
      <c r="M434" s="160" t="s">
        <v>1092</v>
      </c>
      <c r="N434" s="160" t="s">
        <v>1093</v>
      </c>
      <c r="O434" s="159" t="s">
        <v>1096</v>
      </c>
      <c r="P434" s="201" t="s">
        <v>1097</v>
      </c>
      <c r="Q434" s="130"/>
      <c r="R434" s="130"/>
      <c r="S434" s="130"/>
    </row>
    <row r="435" spans="1:19" s="75" customFormat="1" ht="14.6">
      <c r="A435" s="188" t="s">
        <v>1092</v>
      </c>
      <c r="B435" s="147" t="s">
        <v>1093</v>
      </c>
      <c r="C435" s="144" t="s">
        <v>1098</v>
      </c>
      <c r="D435" s="154" t="s">
        <v>1099</v>
      </c>
      <c r="E435" s="97"/>
      <c r="F435" s="94"/>
      <c r="G435" s="94"/>
      <c r="H435" s="94"/>
      <c r="I435" s="94" t="b">
        <f>EXACT(C435,O435)</f>
        <v>1</v>
      </c>
      <c r="J435" s="94" t="b">
        <f>EXACT(D435,P435)</f>
        <v>1</v>
      </c>
      <c r="K435" s="94" t="s">
        <v>1568</v>
      </c>
      <c r="L435" s="94"/>
      <c r="M435" s="160" t="s">
        <v>1092</v>
      </c>
      <c r="N435" s="160" t="s">
        <v>1093</v>
      </c>
      <c r="O435" s="159" t="s">
        <v>1098</v>
      </c>
      <c r="P435" s="201" t="s">
        <v>1099</v>
      </c>
      <c r="Q435" s="134"/>
      <c r="R435" s="134"/>
      <c r="S435" s="134"/>
    </row>
    <row r="436" spans="1:19" s="75" customFormat="1" ht="62.15">
      <c r="A436" s="188" t="s">
        <v>1100</v>
      </c>
      <c r="B436" s="147" t="s">
        <v>1101</v>
      </c>
      <c r="C436" s="144" t="s">
        <v>1102</v>
      </c>
      <c r="D436" s="145" t="s">
        <v>1103</v>
      </c>
      <c r="E436" s="97" t="s">
        <v>331</v>
      </c>
      <c r="F436" s="94"/>
      <c r="G436" s="94"/>
      <c r="H436" s="94"/>
      <c r="I436" s="94" t="b">
        <f>EXACT(C436,O436)</f>
        <v>1</v>
      </c>
      <c r="J436" s="94" t="b">
        <f>EXACT(D436,P436)</f>
        <v>1</v>
      </c>
      <c r="K436" s="94" t="s">
        <v>1568</v>
      </c>
      <c r="L436" s="94"/>
      <c r="M436" s="160" t="s">
        <v>1100</v>
      </c>
      <c r="N436" s="160" t="s">
        <v>1101</v>
      </c>
      <c r="O436" s="159" t="s">
        <v>1102</v>
      </c>
      <c r="P436" s="189" t="s">
        <v>1103</v>
      </c>
      <c r="Q436" s="134"/>
      <c r="R436" s="134"/>
      <c r="S436" s="134"/>
    </row>
    <row r="437" spans="1:19" s="75" customFormat="1" ht="111.9">
      <c r="A437" s="188" t="s">
        <v>1100</v>
      </c>
      <c r="B437" s="147" t="s">
        <v>1101</v>
      </c>
      <c r="C437" s="144" t="s">
        <v>1104</v>
      </c>
      <c r="D437" s="145" t="s">
        <v>1105</v>
      </c>
      <c r="E437" s="97" t="s">
        <v>331</v>
      </c>
      <c r="F437" s="94"/>
      <c r="G437" s="94"/>
      <c r="H437" s="94"/>
      <c r="I437" s="94" t="b">
        <f>EXACT(C437,O437)</f>
        <v>1</v>
      </c>
      <c r="J437" s="94" t="b">
        <f>EXACT(D437,P437)</f>
        <v>1</v>
      </c>
      <c r="K437" s="94" t="s">
        <v>1568</v>
      </c>
      <c r="L437" s="94"/>
      <c r="M437" s="160" t="s">
        <v>1100</v>
      </c>
      <c r="N437" s="160" t="s">
        <v>1101</v>
      </c>
      <c r="O437" s="159" t="s">
        <v>1104</v>
      </c>
      <c r="P437" s="189" t="s">
        <v>1105</v>
      </c>
      <c r="Q437" s="134"/>
      <c r="R437" s="134"/>
      <c r="S437" s="134"/>
    </row>
    <row r="438" spans="1:19" s="75" customFormat="1" ht="99.45">
      <c r="A438" s="188" t="s">
        <v>1100</v>
      </c>
      <c r="B438" s="147" t="s">
        <v>1101</v>
      </c>
      <c r="C438" s="144" t="s">
        <v>1106</v>
      </c>
      <c r="D438" s="145" t="s">
        <v>1107</v>
      </c>
      <c r="E438" s="97"/>
      <c r="F438" s="94"/>
      <c r="G438" s="94"/>
      <c r="H438" s="94"/>
      <c r="I438" s="94" t="b">
        <f>EXACT(C438,O438)</f>
        <v>1</v>
      </c>
      <c r="J438" s="94" t="b">
        <f>EXACT(D438,P438)</f>
        <v>1</v>
      </c>
      <c r="K438" s="94" t="s">
        <v>1568</v>
      </c>
      <c r="L438" s="94"/>
      <c r="M438" s="160" t="s">
        <v>1100</v>
      </c>
      <c r="N438" s="160" t="s">
        <v>1101</v>
      </c>
      <c r="O438" s="159" t="s">
        <v>1106</v>
      </c>
      <c r="P438" s="189" t="s">
        <v>1107</v>
      </c>
      <c r="Q438" s="134"/>
      <c r="R438" s="134"/>
      <c r="S438" s="134"/>
    </row>
    <row r="439" spans="1:19" s="75" customFormat="1" ht="99.45">
      <c r="A439" s="188" t="s">
        <v>1100</v>
      </c>
      <c r="B439" s="147" t="s">
        <v>1101</v>
      </c>
      <c r="C439" s="144" t="s">
        <v>1108</v>
      </c>
      <c r="D439" s="145" t="s">
        <v>1109</v>
      </c>
      <c r="E439" s="97" t="s">
        <v>331</v>
      </c>
      <c r="F439" s="94"/>
      <c r="G439" s="94"/>
      <c r="H439" s="94"/>
      <c r="I439" s="94" t="b">
        <f>EXACT(C439,O439)</f>
        <v>1</v>
      </c>
      <c r="J439" s="94" t="b">
        <f>EXACT(D439,P439)</f>
        <v>1</v>
      </c>
      <c r="K439" s="94" t="s">
        <v>1568</v>
      </c>
      <c r="L439" s="94"/>
      <c r="M439" s="160" t="s">
        <v>1100</v>
      </c>
      <c r="N439" s="160" t="s">
        <v>1101</v>
      </c>
      <c r="O439" s="159" t="s">
        <v>1108</v>
      </c>
      <c r="P439" s="189" t="s">
        <v>1109</v>
      </c>
      <c r="Q439" s="134"/>
      <c r="R439" s="134"/>
      <c r="S439" s="134"/>
    </row>
    <row r="440" spans="1:19" s="75" customFormat="1" ht="74.599999999999994">
      <c r="A440" s="188" t="s">
        <v>1100</v>
      </c>
      <c r="B440" s="147" t="s">
        <v>1119</v>
      </c>
      <c r="C440" s="144" t="s">
        <v>1120</v>
      </c>
      <c r="D440" s="145" t="s">
        <v>1121</v>
      </c>
      <c r="E440" s="97" t="s">
        <v>331</v>
      </c>
      <c r="F440" s="94"/>
      <c r="G440" s="94"/>
      <c r="H440" s="94"/>
      <c r="I440" s="94" t="b">
        <f>EXACT(C440,O440)</f>
        <v>1</v>
      </c>
      <c r="J440" s="94" t="b">
        <f>EXACT(D440,P440)</f>
        <v>1</v>
      </c>
      <c r="K440" s="94" t="s">
        <v>1568</v>
      </c>
      <c r="L440" s="94"/>
      <c r="M440" s="160" t="s">
        <v>1100</v>
      </c>
      <c r="N440" s="160" t="s">
        <v>1119</v>
      </c>
      <c r="O440" s="159" t="s">
        <v>1120</v>
      </c>
      <c r="P440" s="189" t="s">
        <v>1121</v>
      </c>
      <c r="Q440" s="134"/>
      <c r="R440" s="134"/>
      <c r="S440" s="134"/>
    </row>
    <row r="441" spans="1:19" s="75" customFormat="1" ht="99.45">
      <c r="A441" s="188" t="s">
        <v>1100</v>
      </c>
      <c r="B441" s="147" t="s">
        <v>1101</v>
      </c>
      <c r="C441" s="144" t="s">
        <v>1110</v>
      </c>
      <c r="D441" s="145" t="s">
        <v>1111</v>
      </c>
      <c r="E441" s="97"/>
      <c r="F441" s="94"/>
      <c r="G441" s="94"/>
      <c r="H441" s="94"/>
      <c r="I441" s="94" t="b">
        <f>EXACT(C441,O441)</f>
        <v>1</v>
      </c>
      <c r="J441" s="94" t="b">
        <f>EXACT(D441,P441)</f>
        <v>1</v>
      </c>
      <c r="K441" s="94" t="s">
        <v>1568</v>
      </c>
      <c r="L441" s="94"/>
      <c r="M441" s="160" t="s">
        <v>1100</v>
      </c>
      <c r="N441" s="160" t="s">
        <v>1101</v>
      </c>
      <c r="O441" s="159" t="s">
        <v>1110</v>
      </c>
      <c r="P441" s="189" t="s">
        <v>1111</v>
      </c>
      <c r="Q441" s="134"/>
      <c r="R441" s="134"/>
      <c r="S441" s="134"/>
    </row>
    <row r="442" spans="1:19" s="75" customFormat="1" ht="74.599999999999994">
      <c r="A442" s="188" t="s">
        <v>1100</v>
      </c>
      <c r="B442" s="147" t="s">
        <v>1119</v>
      </c>
      <c r="C442" s="144" t="s">
        <v>1122</v>
      </c>
      <c r="D442" s="145" t="s">
        <v>1123</v>
      </c>
      <c r="E442" s="97"/>
      <c r="F442" s="94"/>
      <c r="G442" s="94"/>
      <c r="H442" s="94"/>
      <c r="I442" s="94" t="b">
        <f>EXACT(C442,O442)</f>
        <v>1</v>
      </c>
      <c r="J442" s="94" t="b">
        <f>EXACT(D442,P442)</f>
        <v>1</v>
      </c>
      <c r="K442" s="94" t="s">
        <v>1568</v>
      </c>
      <c r="L442" s="94"/>
      <c r="M442" s="160" t="s">
        <v>1100</v>
      </c>
      <c r="N442" s="160" t="s">
        <v>1119</v>
      </c>
      <c r="O442" s="159" t="s">
        <v>1122</v>
      </c>
      <c r="P442" s="189" t="s">
        <v>1123</v>
      </c>
      <c r="Q442" s="134"/>
      <c r="R442" s="134"/>
      <c r="S442" s="134"/>
    </row>
    <row r="443" spans="1:19" s="75" customFormat="1" ht="24.9">
      <c r="A443" s="188" t="s">
        <v>1100</v>
      </c>
      <c r="B443" s="147" t="s">
        <v>1101</v>
      </c>
      <c r="C443" s="144" t="s">
        <v>1112</v>
      </c>
      <c r="D443" s="145" t="s">
        <v>1113</v>
      </c>
      <c r="E443" s="97" t="s">
        <v>331</v>
      </c>
      <c r="F443" s="94"/>
      <c r="G443" s="94"/>
      <c r="H443" s="94"/>
      <c r="I443" s="94" t="b">
        <f>EXACT(C443,O443)</f>
        <v>1</v>
      </c>
      <c r="J443" s="94" t="b">
        <f>EXACT(D443,P443)</f>
        <v>1</v>
      </c>
      <c r="K443" s="94" t="s">
        <v>1568</v>
      </c>
      <c r="L443" s="94"/>
      <c r="M443" s="160" t="s">
        <v>1100</v>
      </c>
      <c r="N443" s="160" t="s">
        <v>1101</v>
      </c>
      <c r="O443" s="159" t="s">
        <v>1112</v>
      </c>
      <c r="P443" s="189" t="s">
        <v>1113</v>
      </c>
      <c r="Q443" s="134"/>
      <c r="R443" s="134"/>
      <c r="S443" s="134"/>
    </row>
    <row r="444" spans="1:19" s="75" customFormat="1" ht="37.299999999999997">
      <c r="A444" s="188" t="s">
        <v>1100</v>
      </c>
      <c r="B444" s="147" t="s">
        <v>1114</v>
      </c>
      <c r="C444" s="144" t="s">
        <v>1115</v>
      </c>
      <c r="D444" s="145" t="s">
        <v>1116</v>
      </c>
      <c r="E444" s="97"/>
      <c r="F444" s="94"/>
      <c r="G444" s="94"/>
      <c r="H444" s="94"/>
      <c r="I444" s="94" t="b">
        <f>EXACT(C444,O444)</f>
        <v>1</v>
      </c>
      <c r="J444" s="94" t="b">
        <f>EXACT(D444,P444)</f>
        <v>1</v>
      </c>
      <c r="K444" s="94" t="s">
        <v>1568</v>
      </c>
      <c r="L444" s="94"/>
      <c r="M444" s="160" t="s">
        <v>1100</v>
      </c>
      <c r="N444" s="160" t="s">
        <v>1114</v>
      </c>
      <c r="O444" s="159" t="s">
        <v>1115</v>
      </c>
      <c r="P444" s="189" t="s">
        <v>1116</v>
      </c>
      <c r="Q444" s="134"/>
      <c r="R444" s="134"/>
      <c r="S444" s="134"/>
    </row>
    <row r="445" spans="1:19" s="75" customFormat="1" ht="37.299999999999997">
      <c r="A445" s="188" t="s">
        <v>1100</v>
      </c>
      <c r="B445" s="147" t="s">
        <v>1114</v>
      </c>
      <c r="C445" s="144" t="s">
        <v>1117</v>
      </c>
      <c r="D445" s="145" t="s">
        <v>1118</v>
      </c>
      <c r="E445" s="97"/>
      <c r="F445" s="94"/>
      <c r="G445" s="94"/>
      <c r="H445" s="94"/>
      <c r="I445" s="94" t="b">
        <f>EXACT(C445,O445)</f>
        <v>1</v>
      </c>
      <c r="J445" s="94" t="b">
        <f>EXACT(D445,P445)</f>
        <v>1</v>
      </c>
      <c r="K445" s="94" t="s">
        <v>1568</v>
      </c>
      <c r="L445" s="94"/>
      <c r="M445" s="160" t="s">
        <v>1100</v>
      </c>
      <c r="N445" s="160" t="s">
        <v>1114</v>
      </c>
      <c r="O445" s="159" t="s">
        <v>1117</v>
      </c>
      <c r="P445" s="189" t="s">
        <v>1118</v>
      </c>
      <c r="Q445" s="130"/>
      <c r="R445" s="130"/>
      <c r="S445" s="130"/>
    </row>
    <row r="446" spans="1:19" s="75" customFormat="1" ht="37.299999999999997">
      <c r="A446" s="188" t="s">
        <v>1131</v>
      </c>
      <c r="B446" s="147"/>
      <c r="C446" s="144" t="s">
        <v>1138</v>
      </c>
      <c r="D446" s="145" t="s">
        <v>1139</v>
      </c>
      <c r="E446" s="97" t="s">
        <v>1131</v>
      </c>
      <c r="F446" s="94"/>
      <c r="G446" s="94"/>
      <c r="H446" s="94"/>
      <c r="I446" s="94" t="b">
        <f>EXACT(C446,O446)</f>
        <v>0</v>
      </c>
      <c r="J446" s="94" t="b">
        <f>EXACT(D446,P446)</f>
        <v>0</v>
      </c>
      <c r="K446" s="94" t="s">
        <v>1570</v>
      </c>
      <c r="L446" s="94" t="s">
        <v>1581</v>
      </c>
      <c r="M446" s="171"/>
      <c r="N446" s="171"/>
      <c r="O446" s="159"/>
      <c r="P446" s="189"/>
      <c r="Q446" s="130"/>
      <c r="R446" s="130"/>
      <c r="S446" s="130"/>
    </row>
    <row r="447" spans="1:19" s="75" customFormat="1" ht="37.299999999999997">
      <c r="A447" s="188" t="s">
        <v>1131</v>
      </c>
      <c r="B447" s="147"/>
      <c r="C447" s="144" t="s">
        <v>1140</v>
      </c>
      <c r="D447" s="145" t="s">
        <v>1141</v>
      </c>
      <c r="E447" s="97" t="s">
        <v>1131</v>
      </c>
      <c r="F447" s="94"/>
      <c r="G447" s="94"/>
      <c r="H447" s="94"/>
      <c r="I447" s="94" t="b">
        <f>EXACT(C447,O447)</f>
        <v>0</v>
      </c>
      <c r="J447" s="94" t="b">
        <f>EXACT(D447,P447)</f>
        <v>0</v>
      </c>
      <c r="K447" s="94" t="s">
        <v>1570</v>
      </c>
      <c r="L447" s="94" t="s">
        <v>1581</v>
      </c>
      <c r="M447" s="171"/>
      <c r="N447" s="171"/>
      <c r="O447" s="159"/>
      <c r="P447" s="189"/>
      <c r="Q447" s="134"/>
      <c r="R447" s="134"/>
      <c r="S447" s="134"/>
    </row>
    <row r="448" spans="1:19" s="75" customFormat="1" ht="37.299999999999997">
      <c r="A448" s="188" t="s">
        <v>1131</v>
      </c>
      <c r="B448" s="147"/>
      <c r="C448" s="144" t="s">
        <v>1142</v>
      </c>
      <c r="D448" s="145" t="s">
        <v>1143</v>
      </c>
      <c r="E448" s="97" t="s">
        <v>1131</v>
      </c>
      <c r="F448" s="94"/>
      <c r="G448" s="94"/>
      <c r="H448" s="94"/>
      <c r="I448" s="94" t="b">
        <f>EXACT(C448,O448)</f>
        <v>0</v>
      </c>
      <c r="J448" s="94" t="b">
        <f>EXACT(D448,P448)</f>
        <v>0</v>
      </c>
      <c r="K448" s="94" t="s">
        <v>1570</v>
      </c>
      <c r="L448" s="94" t="s">
        <v>1581</v>
      </c>
      <c r="M448" s="171"/>
      <c r="N448" s="171"/>
      <c r="O448" s="159"/>
      <c r="P448" s="189"/>
      <c r="Q448" s="134"/>
      <c r="R448" s="134"/>
      <c r="S448" s="134"/>
    </row>
    <row r="449" spans="1:19" s="75" customFormat="1" ht="37.299999999999997">
      <c r="A449" s="188" t="s">
        <v>1131</v>
      </c>
      <c r="B449" s="147"/>
      <c r="C449" s="144" t="s">
        <v>1144</v>
      </c>
      <c r="D449" s="156" t="s">
        <v>1145</v>
      </c>
      <c r="E449" s="97" t="s">
        <v>1131</v>
      </c>
      <c r="F449" s="93"/>
      <c r="G449" s="41"/>
      <c r="H449" s="76"/>
      <c r="I449" s="94" t="b">
        <f>EXACT(C449,O449)</f>
        <v>0</v>
      </c>
      <c r="J449" s="94" t="b">
        <f>EXACT(D449,P449)</f>
        <v>0</v>
      </c>
      <c r="K449" s="94" t="s">
        <v>1570</v>
      </c>
      <c r="L449" s="94" t="s">
        <v>1581</v>
      </c>
      <c r="M449" s="171"/>
      <c r="N449" s="171"/>
      <c r="O449" s="159"/>
      <c r="P449" s="189"/>
      <c r="Q449" s="134"/>
      <c r="R449" s="134"/>
      <c r="S449" s="134"/>
    </row>
    <row r="450" spans="1:19" s="75" customFormat="1" ht="37.299999999999997">
      <c r="A450" s="188" t="s">
        <v>1131</v>
      </c>
      <c r="B450" s="147"/>
      <c r="C450" s="144" t="s">
        <v>1146</v>
      </c>
      <c r="D450" s="150" t="s">
        <v>1147</v>
      </c>
      <c r="E450" s="97" t="s">
        <v>1131</v>
      </c>
      <c r="F450" s="94"/>
      <c r="G450" s="94"/>
      <c r="H450" s="94"/>
      <c r="I450" s="94" t="b">
        <f>EXACT(C450,O450)</f>
        <v>0</v>
      </c>
      <c r="J450" s="94" t="b">
        <f>EXACT(D450,P450)</f>
        <v>0</v>
      </c>
      <c r="K450" s="94" t="s">
        <v>1570</v>
      </c>
      <c r="L450" s="94" t="s">
        <v>1581</v>
      </c>
      <c r="M450" s="171"/>
      <c r="N450" s="171"/>
      <c r="O450" s="159"/>
      <c r="P450" s="189"/>
      <c r="Q450" s="134"/>
      <c r="R450" s="134"/>
      <c r="S450" s="134"/>
    </row>
    <row r="451" spans="1:19" s="75" customFormat="1" ht="37.299999999999997">
      <c r="A451" s="188" t="s">
        <v>1131</v>
      </c>
      <c r="B451" s="147"/>
      <c r="C451" s="144" t="s">
        <v>1148</v>
      </c>
      <c r="D451" s="145" t="s">
        <v>1149</v>
      </c>
      <c r="E451" s="97" t="s">
        <v>1131</v>
      </c>
      <c r="F451" s="93"/>
      <c r="G451" s="41"/>
      <c r="H451" s="76"/>
      <c r="I451" s="94" t="b">
        <f>EXACT(C451,O451)</f>
        <v>0</v>
      </c>
      <c r="J451" s="94" t="b">
        <f>EXACT(D451,P451)</f>
        <v>0</v>
      </c>
      <c r="K451" s="94" t="s">
        <v>1570</v>
      </c>
      <c r="L451" s="94" t="s">
        <v>1581</v>
      </c>
      <c r="M451" s="171"/>
      <c r="N451" s="171"/>
      <c r="O451" s="159"/>
      <c r="P451" s="189"/>
      <c r="Q451" s="134"/>
      <c r="R451" s="134"/>
      <c r="S451" s="134"/>
    </row>
    <row r="452" spans="1:19" s="75" customFormat="1" ht="37.299999999999997">
      <c r="A452" s="188" t="s">
        <v>1131</v>
      </c>
      <c r="B452" s="147"/>
      <c r="C452" s="144" t="s">
        <v>1150</v>
      </c>
      <c r="D452" s="156" t="s">
        <v>1151</v>
      </c>
      <c r="E452" s="97" t="s">
        <v>1131</v>
      </c>
      <c r="F452" s="93"/>
      <c r="G452" s="41"/>
      <c r="H452" s="76"/>
      <c r="I452" s="94" t="b">
        <f>EXACT(C452,O452)</f>
        <v>0</v>
      </c>
      <c r="J452" s="94" t="b">
        <f>EXACT(D452,P452)</f>
        <v>0</v>
      </c>
      <c r="K452" s="94" t="s">
        <v>1570</v>
      </c>
      <c r="L452" s="94" t="s">
        <v>1581</v>
      </c>
      <c r="M452" s="171"/>
      <c r="N452" s="171"/>
      <c r="O452" s="159"/>
      <c r="P452" s="189"/>
      <c r="Q452" s="130"/>
      <c r="R452" s="130"/>
      <c r="S452" s="130"/>
    </row>
    <row r="453" spans="1:19" s="75" customFormat="1" ht="160.30000000000001">
      <c r="A453" s="188" t="s">
        <v>1131</v>
      </c>
      <c r="B453" s="147" t="s">
        <v>372</v>
      </c>
      <c r="C453" s="144" t="s">
        <v>1132</v>
      </c>
      <c r="D453" s="150" t="s">
        <v>1133</v>
      </c>
      <c r="E453" s="97" t="s">
        <v>1131</v>
      </c>
      <c r="F453" s="93"/>
      <c r="G453" s="41"/>
      <c r="H453" s="76"/>
      <c r="I453" s="94" t="b">
        <f>EXACT(C453,O453)</f>
        <v>0</v>
      </c>
      <c r="J453" s="94" t="b">
        <f>EXACT(D453,P453)</f>
        <v>0</v>
      </c>
      <c r="K453" s="94" t="s">
        <v>1570</v>
      </c>
      <c r="L453" s="94" t="s">
        <v>1581</v>
      </c>
      <c r="M453" s="171"/>
      <c r="N453" s="171"/>
      <c r="O453" s="159"/>
      <c r="P453" s="189"/>
      <c r="Q453" s="134"/>
      <c r="R453" s="134"/>
      <c r="S453" s="134"/>
    </row>
    <row r="454" spans="1:19" s="75" customFormat="1" ht="37.299999999999997">
      <c r="A454" s="188" t="s">
        <v>1131</v>
      </c>
      <c r="B454" s="147" t="s">
        <v>372</v>
      </c>
      <c r="C454" s="144" t="s">
        <v>1134</v>
      </c>
      <c r="D454" s="156" t="s">
        <v>1135</v>
      </c>
      <c r="E454" s="97" t="s">
        <v>1131</v>
      </c>
      <c r="F454" s="93"/>
      <c r="G454" s="41"/>
      <c r="H454" s="76"/>
      <c r="I454" s="94" t="b">
        <f>EXACT(C454,O454)</f>
        <v>0</v>
      </c>
      <c r="J454" s="94" t="b">
        <f>EXACT(D454,P454)</f>
        <v>0</v>
      </c>
      <c r="K454" s="94" t="s">
        <v>1570</v>
      </c>
      <c r="L454" s="94" t="s">
        <v>1581</v>
      </c>
      <c r="M454" s="171"/>
      <c r="N454" s="171"/>
      <c r="O454" s="159"/>
      <c r="P454" s="189"/>
      <c r="Q454" s="134"/>
      <c r="R454" s="134"/>
      <c r="S454" s="134"/>
    </row>
    <row r="455" spans="1:19" s="75" customFormat="1" ht="124.3">
      <c r="A455" s="188" t="s">
        <v>1131</v>
      </c>
      <c r="B455" s="147" t="s">
        <v>372</v>
      </c>
      <c r="C455" s="144" t="s">
        <v>1136</v>
      </c>
      <c r="D455" s="145" t="s">
        <v>1137</v>
      </c>
      <c r="E455" s="97" t="s">
        <v>1131</v>
      </c>
      <c r="F455" s="94"/>
      <c r="G455" s="94"/>
      <c r="H455" s="94"/>
      <c r="I455" s="94" t="b">
        <f>EXACT(C455,O455)</f>
        <v>0</v>
      </c>
      <c r="J455" s="94" t="b">
        <f>EXACT(D455,P455)</f>
        <v>0</v>
      </c>
      <c r="K455" s="94" t="s">
        <v>1570</v>
      </c>
      <c r="L455" s="94" t="s">
        <v>1581</v>
      </c>
      <c r="M455" s="171"/>
      <c r="N455" s="171"/>
      <c r="O455" s="159"/>
      <c r="P455" s="189"/>
      <c r="Q455" s="134"/>
      <c r="R455" s="134"/>
      <c r="S455" s="134"/>
    </row>
    <row r="456" spans="1:19" s="75" customFormat="1" ht="37.299999999999997">
      <c r="A456" s="188" t="s">
        <v>1131</v>
      </c>
      <c r="B456" s="147"/>
      <c r="C456" s="144" t="s">
        <v>1152</v>
      </c>
      <c r="D456" s="150" t="s">
        <v>1153</v>
      </c>
      <c r="E456" s="97" t="s">
        <v>1131</v>
      </c>
      <c r="F456" s="93"/>
      <c r="G456" s="41"/>
      <c r="H456" s="76"/>
      <c r="I456" s="94" t="b">
        <f>EXACT(C456,O456)</f>
        <v>0</v>
      </c>
      <c r="J456" s="94" t="b">
        <f>EXACT(D456,P456)</f>
        <v>0</v>
      </c>
      <c r="K456" s="94" t="s">
        <v>1570</v>
      </c>
      <c r="L456" s="94" t="s">
        <v>1581</v>
      </c>
      <c r="M456" s="171"/>
      <c r="N456" s="171"/>
      <c r="O456" s="159"/>
      <c r="P456" s="189"/>
      <c r="Q456" s="134"/>
      <c r="R456" s="134"/>
      <c r="S456" s="134"/>
    </row>
    <row r="457" spans="1:19" s="75" customFormat="1" ht="37.299999999999997">
      <c r="A457" s="188" t="s">
        <v>1131</v>
      </c>
      <c r="B457" s="147"/>
      <c r="C457" s="144" t="s">
        <v>1154</v>
      </c>
      <c r="D457" s="145" t="s">
        <v>1155</v>
      </c>
      <c r="E457" s="97" t="s">
        <v>1131</v>
      </c>
      <c r="F457" s="94"/>
      <c r="G457" s="94"/>
      <c r="H457" s="94"/>
      <c r="I457" s="94" t="b">
        <f>EXACT(C457,O457)</f>
        <v>0</v>
      </c>
      <c r="J457" s="94" t="b">
        <f>EXACT(D457,P457)</f>
        <v>0</v>
      </c>
      <c r="K457" s="94" t="s">
        <v>1570</v>
      </c>
      <c r="L457" s="94" t="s">
        <v>1581</v>
      </c>
      <c r="M457" s="171"/>
      <c r="N457" s="171"/>
      <c r="O457" s="159"/>
      <c r="P457" s="189"/>
      <c r="Q457" s="134"/>
      <c r="R457" s="134"/>
      <c r="S457" s="134"/>
    </row>
    <row r="458" spans="1:19" s="75" customFormat="1" ht="43.75">
      <c r="A458" s="188" t="s">
        <v>1131</v>
      </c>
      <c r="B458" s="147"/>
      <c r="C458" s="144" t="s">
        <v>1156</v>
      </c>
      <c r="D458" s="150" t="s">
        <v>1157</v>
      </c>
      <c r="E458" s="97" t="s">
        <v>1131</v>
      </c>
      <c r="F458" s="93"/>
      <c r="G458" s="41"/>
      <c r="H458" s="76"/>
      <c r="I458" s="94" t="b">
        <f>EXACT(C458,O458)</f>
        <v>0</v>
      </c>
      <c r="J458" s="94" t="b">
        <f>EXACT(D458,P458)</f>
        <v>0</v>
      </c>
      <c r="K458" s="94" t="s">
        <v>1570</v>
      </c>
      <c r="L458" s="94" t="s">
        <v>1581</v>
      </c>
      <c r="M458" s="171"/>
      <c r="N458" s="171"/>
      <c r="O458" s="159"/>
      <c r="P458" s="189"/>
      <c r="Q458" s="134"/>
      <c r="R458" s="134"/>
      <c r="S458" s="134"/>
    </row>
    <row r="459" spans="1:19" s="75" customFormat="1" ht="37.299999999999997">
      <c r="A459" s="188" t="s">
        <v>1131</v>
      </c>
      <c r="B459" s="147"/>
      <c r="C459" s="144" t="s">
        <v>1158</v>
      </c>
      <c r="D459" s="150" t="s">
        <v>1159</v>
      </c>
      <c r="E459" s="97" t="s">
        <v>1131</v>
      </c>
      <c r="F459" s="93"/>
      <c r="G459" s="41"/>
      <c r="H459" s="76"/>
      <c r="I459" s="94" t="b">
        <f>EXACT(C459,O459)</f>
        <v>0</v>
      </c>
      <c r="J459" s="94" t="b">
        <f>EXACT(D459,P459)</f>
        <v>0</v>
      </c>
      <c r="K459" s="94" t="s">
        <v>1570</v>
      </c>
      <c r="L459" s="94" t="s">
        <v>1581</v>
      </c>
      <c r="M459" s="171"/>
      <c r="N459" s="171"/>
      <c r="O459" s="159"/>
      <c r="P459" s="189"/>
      <c r="Q459" s="130"/>
      <c r="R459" s="130"/>
      <c r="S459" s="130"/>
    </row>
    <row r="460" spans="1:19" s="75" customFormat="1" ht="37.299999999999997">
      <c r="A460" s="188" t="s">
        <v>1131</v>
      </c>
      <c r="B460" s="147"/>
      <c r="C460" s="144" t="s">
        <v>1160</v>
      </c>
      <c r="D460" s="150" t="s">
        <v>1161</v>
      </c>
      <c r="E460" s="97" t="s">
        <v>1131</v>
      </c>
      <c r="F460" s="93"/>
      <c r="G460" s="41"/>
      <c r="H460" s="76"/>
      <c r="I460" s="94" t="b">
        <f>EXACT(C460,O460)</f>
        <v>0</v>
      </c>
      <c r="J460" s="94" t="b">
        <f>EXACT(D460,P460)</f>
        <v>0</v>
      </c>
      <c r="K460" s="94" t="s">
        <v>1570</v>
      </c>
      <c r="L460" s="94" t="s">
        <v>1581</v>
      </c>
      <c r="M460" s="171"/>
      <c r="N460" s="171"/>
      <c r="O460" s="159"/>
      <c r="P460" s="189"/>
      <c r="Q460" s="130"/>
      <c r="R460" s="130"/>
      <c r="S460" s="130"/>
    </row>
    <row r="461" spans="1:19" s="75" customFormat="1" ht="37.299999999999997">
      <c r="A461" s="188" t="s">
        <v>1131</v>
      </c>
      <c r="B461" s="147"/>
      <c r="C461" s="144" t="s">
        <v>1162</v>
      </c>
      <c r="D461" s="156" t="s">
        <v>1163</v>
      </c>
      <c r="E461" s="97" t="s">
        <v>1131</v>
      </c>
      <c r="F461" s="93"/>
      <c r="G461" s="41"/>
      <c r="H461" s="76"/>
      <c r="I461" s="94" t="b">
        <f>EXACT(C461,O461)</f>
        <v>0</v>
      </c>
      <c r="J461" s="94" t="b">
        <f>EXACT(D461,P461)</f>
        <v>0</v>
      </c>
      <c r="K461" s="94" t="s">
        <v>1570</v>
      </c>
      <c r="L461" s="94" t="s">
        <v>1581</v>
      </c>
      <c r="M461" s="171"/>
      <c r="N461" s="171"/>
      <c r="O461" s="159"/>
      <c r="P461" s="189"/>
      <c r="Q461" s="130"/>
      <c r="R461" s="130"/>
      <c r="S461" s="130"/>
    </row>
    <row r="462" spans="1:19" s="75" customFormat="1" ht="37.299999999999997">
      <c r="A462" s="188" t="s">
        <v>1131</v>
      </c>
      <c r="B462" s="147"/>
      <c r="C462" s="144" t="s">
        <v>1164</v>
      </c>
      <c r="D462" s="156" t="s">
        <v>1165</v>
      </c>
      <c r="E462" s="97" t="s">
        <v>1131</v>
      </c>
      <c r="F462" s="93"/>
      <c r="G462" s="41"/>
      <c r="H462" s="76"/>
      <c r="I462" s="94" t="b">
        <f>EXACT(C462,O462)</f>
        <v>0</v>
      </c>
      <c r="J462" s="94" t="b">
        <f>EXACT(D462,P462)</f>
        <v>0</v>
      </c>
      <c r="K462" s="94" t="s">
        <v>1570</v>
      </c>
      <c r="L462" s="94" t="s">
        <v>1581</v>
      </c>
      <c r="M462" s="171"/>
      <c r="N462" s="171"/>
      <c r="O462" s="159"/>
      <c r="P462" s="189"/>
      <c r="Q462" s="130"/>
      <c r="R462" s="130"/>
      <c r="S462" s="130"/>
    </row>
    <row r="463" spans="1:19" s="75" customFormat="1" ht="37.299999999999997">
      <c r="A463" s="188" t="s">
        <v>1131</v>
      </c>
      <c r="B463" s="147"/>
      <c r="C463" s="144" t="s">
        <v>1166</v>
      </c>
      <c r="D463" s="157" t="s">
        <v>1167</v>
      </c>
      <c r="E463" s="97" t="s">
        <v>1131</v>
      </c>
      <c r="F463" s="93"/>
      <c r="G463" s="41"/>
      <c r="H463" s="76"/>
      <c r="I463" s="94" t="b">
        <f>EXACT(C463,O463)</f>
        <v>0</v>
      </c>
      <c r="J463" s="94" t="b">
        <f>EXACT(D463,P463)</f>
        <v>0</v>
      </c>
      <c r="K463" s="94" t="s">
        <v>1570</v>
      </c>
      <c r="L463" s="94" t="s">
        <v>1581</v>
      </c>
      <c r="M463" s="171"/>
      <c r="N463" s="171"/>
      <c r="O463" s="159"/>
      <c r="P463" s="189"/>
      <c r="Q463" s="130"/>
      <c r="R463" s="130"/>
      <c r="S463" s="130"/>
    </row>
    <row r="464" spans="1:19" s="75" customFormat="1" ht="37.299999999999997">
      <c r="A464" s="188" t="s">
        <v>1131</v>
      </c>
      <c r="B464" s="147"/>
      <c r="C464" s="144" t="s">
        <v>1168</v>
      </c>
      <c r="D464" s="145" t="s">
        <v>1169</v>
      </c>
      <c r="E464" s="97" t="s">
        <v>1131</v>
      </c>
      <c r="F464" s="94"/>
      <c r="G464" s="94"/>
      <c r="H464" s="94"/>
      <c r="I464" s="94" t="b">
        <f>EXACT(C464,O464)</f>
        <v>0</v>
      </c>
      <c r="J464" s="94" t="b">
        <f>EXACT(D464,P464)</f>
        <v>0</v>
      </c>
      <c r="K464" s="94" t="s">
        <v>1570</v>
      </c>
      <c r="L464" s="94" t="s">
        <v>1581</v>
      </c>
      <c r="M464" s="171"/>
      <c r="N464" s="171"/>
      <c r="O464" s="159"/>
      <c r="P464" s="189"/>
      <c r="Q464" s="130"/>
      <c r="R464" s="130"/>
      <c r="S464" s="130"/>
    </row>
    <row r="465" spans="1:19" s="75" customFormat="1" ht="37.299999999999997">
      <c r="A465" s="188" t="s">
        <v>1131</v>
      </c>
      <c r="B465" s="147"/>
      <c r="C465" s="144" t="s">
        <v>1170</v>
      </c>
      <c r="D465" s="145" t="s">
        <v>1171</v>
      </c>
      <c r="E465" s="97" t="s">
        <v>1131</v>
      </c>
      <c r="F465" s="94"/>
      <c r="G465" s="94"/>
      <c r="H465" s="94"/>
      <c r="I465" s="94" t="b">
        <f>EXACT(C465,O465)</f>
        <v>0</v>
      </c>
      <c r="J465" s="94" t="b">
        <f>EXACT(D465,P465)</f>
        <v>0</v>
      </c>
      <c r="K465" s="94" t="s">
        <v>1570</v>
      </c>
      <c r="L465" s="94" t="s">
        <v>1581</v>
      </c>
      <c r="M465" s="171"/>
      <c r="N465" s="171"/>
      <c r="O465" s="159"/>
      <c r="P465" s="189"/>
      <c r="Q465" s="130"/>
      <c r="R465" s="130"/>
      <c r="S465" s="130"/>
    </row>
    <row r="466" spans="1:19" s="75" customFormat="1" ht="37.299999999999997">
      <c r="A466" s="188" t="s">
        <v>1131</v>
      </c>
      <c r="B466" s="147"/>
      <c r="C466" s="144" t="s">
        <v>1172</v>
      </c>
      <c r="D466" s="145" t="s">
        <v>1173</v>
      </c>
      <c r="E466" s="97" t="s">
        <v>1131</v>
      </c>
      <c r="F466" s="94"/>
      <c r="G466" s="94"/>
      <c r="H466" s="94"/>
      <c r="I466" s="94" t="b">
        <f>EXACT(C466,O466)</f>
        <v>0</v>
      </c>
      <c r="J466" s="94" t="b">
        <f>EXACT(D466,P466)</f>
        <v>0</v>
      </c>
      <c r="K466" s="94" t="s">
        <v>1570</v>
      </c>
      <c r="L466" s="94" t="s">
        <v>1581</v>
      </c>
      <c r="M466" s="171"/>
      <c r="N466" s="171"/>
      <c r="O466" s="159"/>
      <c r="P466" s="189"/>
      <c r="Q466" s="130"/>
      <c r="R466" s="130"/>
      <c r="S466" s="130"/>
    </row>
    <row r="467" spans="1:19" s="75" customFormat="1" ht="37.299999999999997">
      <c r="A467" s="188" t="s">
        <v>1131</v>
      </c>
      <c r="B467" s="147"/>
      <c r="C467" s="144" t="s">
        <v>1174</v>
      </c>
      <c r="D467" s="145" t="s">
        <v>1175</v>
      </c>
      <c r="E467" s="97" t="s">
        <v>1131</v>
      </c>
      <c r="F467" s="94"/>
      <c r="G467" s="94"/>
      <c r="H467" s="94"/>
      <c r="I467" s="94" t="b">
        <f>EXACT(C467,O467)</f>
        <v>0</v>
      </c>
      <c r="J467" s="94" t="b">
        <f>EXACT(D467,P467)</f>
        <v>0</v>
      </c>
      <c r="K467" s="94" t="s">
        <v>1570</v>
      </c>
      <c r="L467" s="94" t="s">
        <v>1581</v>
      </c>
      <c r="M467" s="171"/>
      <c r="N467" s="171"/>
      <c r="O467" s="159"/>
      <c r="P467" s="189"/>
      <c r="Q467" s="130"/>
      <c r="R467" s="130"/>
      <c r="S467" s="130"/>
    </row>
    <row r="468" spans="1:19" s="75" customFormat="1" ht="37.299999999999997">
      <c r="A468" s="188" t="s">
        <v>1131</v>
      </c>
      <c r="B468" s="147"/>
      <c r="C468" s="144" t="s">
        <v>1176</v>
      </c>
      <c r="D468" s="145" t="s">
        <v>1177</v>
      </c>
      <c r="E468" s="97" t="s">
        <v>1131</v>
      </c>
      <c r="F468" s="94"/>
      <c r="G468" s="94"/>
      <c r="H468" s="94"/>
      <c r="I468" s="94" t="b">
        <f>EXACT(C468,O468)</f>
        <v>0</v>
      </c>
      <c r="J468" s="94" t="b">
        <f>EXACT(D468,P468)</f>
        <v>0</v>
      </c>
      <c r="K468" s="94" t="s">
        <v>1570</v>
      </c>
      <c r="L468" s="94" t="s">
        <v>1581</v>
      </c>
      <c r="M468" s="171"/>
      <c r="N468" s="171"/>
      <c r="O468" s="159"/>
      <c r="P468" s="189"/>
      <c r="Q468" s="130"/>
      <c r="R468" s="130"/>
      <c r="S468" s="130"/>
    </row>
    <row r="469" spans="1:19" s="75" customFormat="1" ht="37.299999999999997">
      <c r="A469" s="188" t="s">
        <v>1131</v>
      </c>
      <c r="B469" s="147"/>
      <c r="C469" s="144" t="s">
        <v>1178</v>
      </c>
      <c r="D469" s="145" t="s">
        <v>1179</v>
      </c>
      <c r="E469" s="97" t="s">
        <v>1131</v>
      </c>
      <c r="F469" s="94"/>
      <c r="G469" s="94"/>
      <c r="H469" s="94"/>
      <c r="I469" s="94" t="b">
        <f>EXACT(C469,O469)</f>
        <v>0</v>
      </c>
      <c r="J469" s="94" t="b">
        <f>EXACT(D469,P469)</f>
        <v>0</v>
      </c>
      <c r="K469" s="94" t="s">
        <v>1570</v>
      </c>
      <c r="L469" s="94" t="s">
        <v>1581</v>
      </c>
      <c r="M469" s="171"/>
      <c r="N469" s="171"/>
      <c r="O469" s="159"/>
      <c r="P469" s="189"/>
      <c r="Q469" s="130"/>
      <c r="R469" s="130"/>
      <c r="S469" s="130"/>
    </row>
    <row r="470" spans="1:19" s="75" customFormat="1" ht="37.299999999999997">
      <c r="A470" s="188" t="s">
        <v>1131</v>
      </c>
      <c r="B470" s="147"/>
      <c r="C470" s="144" t="s">
        <v>1180</v>
      </c>
      <c r="D470" s="145" t="s">
        <v>1181</v>
      </c>
      <c r="E470" s="97" t="s">
        <v>1131</v>
      </c>
      <c r="F470" s="94"/>
      <c r="G470" s="94"/>
      <c r="H470" s="94"/>
      <c r="I470" s="94" t="b">
        <f>EXACT(C470,O470)</f>
        <v>0</v>
      </c>
      <c r="J470" s="94" t="b">
        <f>EXACT(D470,P470)</f>
        <v>0</v>
      </c>
      <c r="K470" s="94" t="s">
        <v>1570</v>
      </c>
      <c r="L470" s="94" t="s">
        <v>1581</v>
      </c>
      <c r="M470" s="171"/>
      <c r="N470" s="171"/>
      <c r="O470" s="159"/>
      <c r="P470" s="189"/>
      <c r="Q470" s="130"/>
      <c r="R470" s="130"/>
      <c r="S470" s="130"/>
    </row>
    <row r="471" spans="1:19" s="75" customFormat="1" ht="62.15">
      <c r="A471" s="188" t="s">
        <v>1182</v>
      </c>
      <c r="B471" s="147" t="s">
        <v>1205</v>
      </c>
      <c r="C471" s="144" t="s">
        <v>1206</v>
      </c>
      <c r="D471" s="145" t="s">
        <v>1207</v>
      </c>
      <c r="E471" s="97"/>
      <c r="F471" s="94"/>
      <c r="G471" s="94"/>
      <c r="H471" s="94"/>
      <c r="I471" s="94" t="b">
        <f>EXACT(C471,O471)</f>
        <v>1</v>
      </c>
      <c r="J471" s="94" t="b">
        <f>EXACT(D471,P471)</f>
        <v>1</v>
      </c>
      <c r="K471" s="94" t="s">
        <v>1568</v>
      </c>
      <c r="L471" s="94"/>
      <c r="M471" s="160" t="s">
        <v>1182</v>
      </c>
      <c r="N471" s="160" t="s">
        <v>1205</v>
      </c>
      <c r="O471" s="159" t="s">
        <v>1206</v>
      </c>
      <c r="P471" s="189" t="s">
        <v>1207</v>
      </c>
      <c r="Q471" s="130"/>
      <c r="R471" s="130"/>
      <c r="S471" s="130"/>
    </row>
    <row r="472" spans="1:19" s="75" customFormat="1" ht="62.15">
      <c r="A472" s="188" t="s">
        <v>1182</v>
      </c>
      <c r="B472" s="147" t="s">
        <v>1226</v>
      </c>
      <c r="C472" s="144" t="s">
        <v>1227</v>
      </c>
      <c r="D472" s="145" t="s">
        <v>1228</v>
      </c>
      <c r="E472" s="97"/>
      <c r="F472" s="94"/>
      <c r="G472" s="94"/>
      <c r="H472" s="94"/>
      <c r="I472" s="94" t="b">
        <f>EXACT(C472,O472)</f>
        <v>1</v>
      </c>
      <c r="J472" s="94" t="b">
        <f>EXACT(D472,P472)</f>
        <v>1</v>
      </c>
      <c r="K472" s="94" t="s">
        <v>1568</v>
      </c>
      <c r="L472" s="94"/>
      <c r="M472" s="160" t="s">
        <v>1182</v>
      </c>
      <c r="N472" s="160" t="s">
        <v>1226</v>
      </c>
      <c r="O472" s="159" t="s">
        <v>1227</v>
      </c>
      <c r="P472" s="189" t="s">
        <v>1228</v>
      </c>
      <c r="Q472" s="130"/>
      <c r="R472" s="130"/>
      <c r="S472" s="130"/>
    </row>
    <row r="473" spans="1:19" s="75" customFormat="1" ht="99.45">
      <c r="A473" s="188" t="s">
        <v>1182</v>
      </c>
      <c r="B473" s="147" t="s">
        <v>317</v>
      </c>
      <c r="C473" s="144" t="s">
        <v>1183</v>
      </c>
      <c r="D473" s="145" t="s">
        <v>1184</v>
      </c>
      <c r="E473" s="97"/>
      <c r="F473" s="94"/>
      <c r="G473" s="94"/>
      <c r="H473" s="94"/>
      <c r="I473" s="94" t="b">
        <f>EXACT(C473,O473)</f>
        <v>1</v>
      </c>
      <c r="J473" s="94" t="b">
        <f>EXACT(D473,P473)</f>
        <v>1</v>
      </c>
      <c r="K473" s="94" t="s">
        <v>1568</v>
      </c>
      <c r="L473" s="94"/>
      <c r="M473" s="160" t="s">
        <v>1182</v>
      </c>
      <c r="N473" s="160" t="s">
        <v>317</v>
      </c>
      <c r="O473" s="159" t="s">
        <v>1183</v>
      </c>
      <c r="P473" s="189" t="s">
        <v>1184</v>
      </c>
      <c r="Q473" s="130"/>
      <c r="R473" s="130"/>
      <c r="S473" s="130"/>
    </row>
    <row r="474" spans="1:19" s="75" customFormat="1" ht="99.45">
      <c r="A474" s="188" t="s">
        <v>1182</v>
      </c>
      <c r="B474" s="147" t="s">
        <v>658</v>
      </c>
      <c r="C474" s="144" t="s">
        <v>1210</v>
      </c>
      <c r="D474" s="145" t="s">
        <v>1211</v>
      </c>
      <c r="E474" s="97"/>
      <c r="F474" s="94"/>
      <c r="G474" s="94"/>
      <c r="H474" s="94"/>
      <c r="I474" s="94" t="b">
        <f>EXACT(C474,O474)</f>
        <v>1</v>
      </c>
      <c r="J474" s="94" t="b">
        <f>EXACT(D474,P474)</f>
        <v>1</v>
      </c>
      <c r="K474" s="94" t="s">
        <v>1568</v>
      </c>
      <c r="L474" s="94"/>
      <c r="M474" s="160" t="s">
        <v>1182</v>
      </c>
      <c r="N474" s="160" t="s">
        <v>658</v>
      </c>
      <c r="O474" s="159" t="s">
        <v>1210</v>
      </c>
      <c r="P474" s="189" t="s">
        <v>1211</v>
      </c>
      <c r="Q474" s="130"/>
      <c r="R474" s="130"/>
      <c r="S474" s="130"/>
    </row>
    <row r="475" spans="1:19" s="75" customFormat="1" ht="87">
      <c r="A475" s="188" t="s">
        <v>1182</v>
      </c>
      <c r="B475" s="147" t="s">
        <v>317</v>
      </c>
      <c r="C475" s="144" t="s">
        <v>1185</v>
      </c>
      <c r="D475" s="145" t="s">
        <v>1186</v>
      </c>
      <c r="E475" s="97"/>
      <c r="F475" s="94"/>
      <c r="G475" s="94"/>
      <c r="H475" s="94"/>
      <c r="I475" s="94" t="b">
        <f>EXACT(C475,O475)</f>
        <v>1</v>
      </c>
      <c r="J475" s="94" t="b">
        <f>EXACT(D475,P475)</f>
        <v>1</v>
      </c>
      <c r="K475" s="94" t="s">
        <v>1568</v>
      </c>
      <c r="L475" s="94"/>
      <c r="M475" s="160" t="s">
        <v>1182</v>
      </c>
      <c r="N475" s="160" t="s">
        <v>317</v>
      </c>
      <c r="O475" s="159" t="s">
        <v>1185</v>
      </c>
      <c r="P475" s="189" t="s">
        <v>1186</v>
      </c>
      <c r="Q475" s="130"/>
      <c r="R475" s="130"/>
      <c r="S475" s="130"/>
    </row>
    <row r="476" spans="1:19" s="75" customFormat="1" ht="74.599999999999994">
      <c r="A476" s="188" t="s">
        <v>1182</v>
      </c>
      <c r="B476" s="147" t="s">
        <v>658</v>
      </c>
      <c r="C476" s="144" t="s">
        <v>1212</v>
      </c>
      <c r="D476" s="145" t="s">
        <v>1213</v>
      </c>
      <c r="E476" s="97"/>
      <c r="F476" s="94"/>
      <c r="G476" s="94"/>
      <c r="H476" s="94"/>
      <c r="I476" s="94" t="b">
        <f>EXACT(C476,O476)</f>
        <v>1</v>
      </c>
      <c r="J476" s="94" t="b">
        <f>EXACT(D476,P476)</f>
        <v>1</v>
      </c>
      <c r="K476" s="94" t="s">
        <v>1568</v>
      </c>
      <c r="L476" s="94"/>
      <c r="M476" s="160" t="s">
        <v>1182</v>
      </c>
      <c r="N476" s="160" t="s">
        <v>658</v>
      </c>
      <c r="O476" s="159" t="s">
        <v>1212</v>
      </c>
      <c r="P476" s="189" t="s">
        <v>1213</v>
      </c>
      <c r="Q476" s="130"/>
      <c r="R476" s="130"/>
      <c r="S476" s="130"/>
    </row>
    <row r="477" spans="1:19" s="75" customFormat="1" ht="74.599999999999994">
      <c r="A477" s="188" t="s">
        <v>1182</v>
      </c>
      <c r="B477" s="147" t="s">
        <v>1226</v>
      </c>
      <c r="C477" s="144" t="s">
        <v>1229</v>
      </c>
      <c r="D477" s="145" t="s">
        <v>1230</v>
      </c>
      <c r="E477" s="97"/>
      <c r="F477" s="94"/>
      <c r="G477" s="94"/>
      <c r="H477" s="94"/>
      <c r="I477" s="94" t="b">
        <f>EXACT(C477,O477)</f>
        <v>1</v>
      </c>
      <c r="J477" s="94" t="b">
        <f>EXACT(D477,P477)</f>
        <v>1</v>
      </c>
      <c r="K477" s="94" t="s">
        <v>1568</v>
      </c>
      <c r="L477" s="94"/>
      <c r="M477" s="160" t="s">
        <v>1182</v>
      </c>
      <c r="N477" s="160" t="s">
        <v>1226</v>
      </c>
      <c r="O477" s="159" t="s">
        <v>1229</v>
      </c>
      <c r="P477" s="189" t="s">
        <v>1230</v>
      </c>
      <c r="Q477" s="130"/>
      <c r="R477" s="130"/>
      <c r="S477" s="130"/>
    </row>
    <row r="478" spans="1:19" s="75" customFormat="1" ht="62.15">
      <c r="A478" s="188" t="s">
        <v>1182</v>
      </c>
      <c r="B478" s="147" t="s">
        <v>317</v>
      </c>
      <c r="C478" s="144" t="s">
        <v>1187</v>
      </c>
      <c r="D478" s="145" t="s">
        <v>1188</v>
      </c>
      <c r="E478" s="97"/>
      <c r="F478" s="94"/>
      <c r="G478" s="94"/>
      <c r="H478" s="94"/>
      <c r="I478" s="94" t="b">
        <f>EXACT(C478,O478)</f>
        <v>1</v>
      </c>
      <c r="J478" s="94" t="b">
        <f>EXACT(D478,P478)</f>
        <v>1</v>
      </c>
      <c r="K478" s="94" t="s">
        <v>1568</v>
      </c>
      <c r="L478" s="94"/>
      <c r="M478" s="160" t="s">
        <v>1182</v>
      </c>
      <c r="N478" s="160" t="s">
        <v>317</v>
      </c>
      <c r="O478" s="159" t="s">
        <v>1187</v>
      </c>
      <c r="P478" s="189" t="s">
        <v>1188</v>
      </c>
      <c r="Q478" s="130"/>
      <c r="R478" s="130"/>
      <c r="S478" s="130"/>
    </row>
    <row r="479" spans="1:19" s="75" customFormat="1" ht="74.599999999999994">
      <c r="A479" s="188" t="s">
        <v>1182</v>
      </c>
      <c r="B479" s="147" t="s">
        <v>658</v>
      </c>
      <c r="C479" s="144" t="s">
        <v>1214</v>
      </c>
      <c r="D479" s="145" t="s">
        <v>1215</v>
      </c>
      <c r="E479" s="97"/>
      <c r="F479" s="94"/>
      <c r="G479" s="94"/>
      <c r="H479" s="94"/>
      <c r="I479" s="94" t="b">
        <f>EXACT(C479,O479)</f>
        <v>1</v>
      </c>
      <c r="J479" s="94" t="b">
        <f>EXACT(D479,P479)</f>
        <v>1</v>
      </c>
      <c r="K479" s="94" t="s">
        <v>1568</v>
      </c>
      <c r="L479" s="94"/>
      <c r="M479" s="160" t="s">
        <v>1182</v>
      </c>
      <c r="N479" s="160" t="s">
        <v>658</v>
      </c>
      <c r="O479" s="159" t="s">
        <v>1214</v>
      </c>
      <c r="P479" s="189" t="s">
        <v>1215</v>
      </c>
      <c r="Q479" s="130"/>
      <c r="R479" s="130"/>
      <c r="S479" s="130"/>
    </row>
    <row r="480" spans="1:19" s="75" customFormat="1" ht="74.599999999999994">
      <c r="A480" s="188" t="s">
        <v>1182</v>
      </c>
      <c r="B480" s="147" t="s">
        <v>317</v>
      </c>
      <c r="C480" s="144" t="s">
        <v>1189</v>
      </c>
      <c r="D480" s="145" t="s">
        <v>1190</v>
      </c>
      <c r="E480" s="97"/>
      <c r="F480" s="94"/>
      <c r="G480" s="94"/>
      <c r="H480" s="94"/>
      <c r="I480" s="94" t="b">
        <f>EXACT(C480,O480)</f>
        <v>1</v>
      </c>
      <c r="J480" s="94" t="b">
        <f>EXACT(D480,P480)</f>
        <v>1</v>
      </c>
      <c r="K480" s="94" t="s">
        <v>1568</v>
      </c>
      <c r="L480" s="94"/>
      <c r="M480" s="160" t="s">
        <v>1182</v>
      </c>
      <c r="N480" s="160" t="s">
        <v>317</v>
      </c>
      <c r="O480" s="159" t="s">
        <v>1189</v>
      </c>
      <c r="P480" s="189" t="s">
        <v>1190</v>
      </c>
      <c r="Q480" s="130"/>
      <c r="R480" s="130"/>
      <c r="S480" s="130"/>
    </row>
    <row r="481" spans="1:19" s="75" customFormat="1" ht="74.599999999999994">
      <c r="A481" s="188" t="s">
        <v>1182</v>
      </c>
      <c r="B481" s="147" t="s">
        <v>658</v>
      </c>
      <c r="C481" s="144" t="s">
        <v>1216</v>
      </c>
      <c r="D481" s="145" t="s">
        <v>1217</v>
      </c>
      <c r="E481" s="97"/>
      <c r="F481" s="94"/>
      <c r="G481" s="94"/>
      <c r="H481" s="94"/>
      <c r="I481" s="94" t="b">
        <f>EXACT(C481,O481)</f>
        <v>1</v>
      </c>
      <c r="J481" s="94" t="b">
        <f>EXACT(D481,P481)</f>
        <v>1</v>
      </c>
      <c r="K481" s="94" t="s">
        <v>1568</v>
      </c>
      <c r="L481" s="94"/>
      <c r="M481" s="160" t="s">
        <v>1182</v>
      </c>
      <c r="N481" s="160" t="s">
        <v>658</v>
      </c>
      <c r="O481" s="159" t="s">
        <v>1216</v>
      </c>
      <c r="P481" s="189" t="s">
        <v>1217</v>
      </c>
      <c r="Q481" s="130"/>
      <c r="R481" s="130"/>
      <c r="S481" s="130"/>
    </row>
    <row r="482" spans="1:19" s="75" customFormat="1" ht="62.15">
      <c r="A482" s="188" t="s">
        <v>1182</v>
      </c>
      <c r="B482" s="147" t="s">
        <v>317</v>
      </c>
      <c r="C482" s="144" t="s">
        <v>1191</v>
      </c>
      <c r="D482" s="145" t="s">
        <v>1192</v>
      </c>
      <c r="E482" s="97"/>
      <c r="F482" s="94"/>
      <c r="G482" s="94"/>
      <c r="H482" s="94"/>
      <c r="I482" s="94" t="b">
        <f>EXACT(C482,O482)</f>
        <v>1</v>
      </c>
      <c r="J482" s="94" t="b">
        <f>EXACT(D482,P482)</f>
        <v>1</v>
      </c>
      <c r="K482" s="94" t="s">
        <v>1568</v>
      </c>
      <c r="L482" s="94"/>
      <c r="M482" s="160" t="s">
        <v>1182</v>
      </c>
      <c r="N482" s="160" t="s">
        <v>317</v>
      </c>
      <c r="O482" s="159" t="s">
        <v>1191</v>
      </c>
      <c r="P482" s="189" t="s">
        <v>1192</v>
      </c>
      <c r="Q482" s="130"/>
      <c r="R482" s="130"/>
      <c r="S482" s="130"/>
    </row>
    <row r="483" spans="1:19" s="75" customFormat="1" ht="62.15">
      <c r="A483" s="188" t="s">
        <v>1182</v>
      </c>
      <c r="B483" s="147" t="s">
        <v>1226</v>
      </c>
      <c r="C483" s="144" t="s">
        <v>1231</v>
      </c>
      <c r="D483" s="145" t="s">
        <v>1232</v>
      </c>
      <c r="E483" s="97"/>
      <c r="F483" s="94"/>
      <c r="G483" s="94"/>
      <c r="H483" s="94"/>
      <c r="I483" s="94" t="b">
        <f>EXACT(C483,O483)</f>
        <v>1</v>
      </c>
      <c r="J483" s="94" t="b">
        <f>EXACT(D483,P483)</f>
        <v>1</v>
      </c>
      <c r="K483" s="94" t="s">
        <v>1568</v>
      </c>
      <c r="L483" s="94"/>
      <c r="M483" s="160" t="s">
        <v>1182</v>
      </c>
      <c r="N483" s="160" t="s">
        <v>1226</v>
      </c>
      <c r="O483" s="159" t="s">
        <v>1231</v>
      </c>
      <c r="P483" s="189" t="s">
        <v>1232</v>
      </c>
      <c r="Q483" s="130"/>
      <c r="R483" s="130"/>
      <c r="S483" s="130"/>
    </row>
    <row r="484" spans="1:19" s="75" customFormat="1" ht="49.75">
      <c r="A484" s="188" t="s">
        <v>1182</v>
      </c>
      <c r="B484" s="147" t="s">
        <v>317</v>
      </c>
      <c r="C484" s="144" t="s">
        <v>1193</v>
      </c>
      <c r="D484" s="145" t="s">
        <v>1194</v>
      </c>
      <c r="E484" s="97"/>
      <c r="F484" s="94"/>
      <c r="G484" s="94"/>
      <c r="H484" s="94"/>
      <c r="I484" s="94" t="b">
        <f>EXACT(C484,O484)</f>
        <v>1</v>
      </c>
      <c r="J484" s="94" t="b">
        <f>EXACT(D484,P484)</f>
        <v>1</v>
      </c>
      <c r="K484" s="94" t="s">
        <v>1568</v>
      </c>
      <c r="L484" s="94"/>
      <c r="M484" s="160" t="s">
        <v>1182</v>
      </c>
      <c r="N484" s="160" t="s">
        <v>317</v>
      </c>
      <c r="O484" s="159" t="s">
        <v>1193</v>
      </c>
      <c r="P484" s="189" t="s">
        <v>1194</v>
      </c>
      <c r="Q484" s="130"/>
      <c r="R484" s="130"/>
      <c r="S484" s="130"/>
    </row>
    <row r="485" spans="1:19" s="75" customFormat="1" ht="49.75">
      <c r="A485" s="188" t="s">
        <v>1182</v>
      </c>
      <c r="B485" s="147" t="s">
        <v>658</v>
      </c>
      <c r="C485" s="144" t="s">
        <v>1218</v>
      </c>
      <c r="D485" s="145" t="s">
        <v>1219</v>
      </c>
      <c r="E485" s="97"/>
      <c r="F485" s="94"/>
      <c r="G485" s="94"/>
      <c r="H485" s="94"/>
      <c r="I485" s="94" t="b">
        <f>EXACT(C485,O485)</f>
        <v>1</v>
      </c>
      <c r="J485" s="94" t="b">
        <f>EXACT(D485,P485)</f>
        <v>1</v>
      </c>
      <c r="K485" s="94" t="s">
        <v>1568</v>
      </c>
      <c r="L485" s="94"/>
      <c r="M485" s="160" t="s">
        <v>1182</v>
      </c>
      <c r="N485" s="160" t="s">
        <v>658</v>
      </c>
      <c r="O485" s="159" t="s">
        <v>1218</v>
      </c>
      <c r="P485" s="189" t="s">
        <v>1219</v>
      </c>
      <c r="Q485" s="130"/>
      <c r="R485" s="130"/>
      <c r="S485" s="130"/>
    </row>
    <row r="486" spans="1:19" s="75" customFormat="1" ht="37.299999999999997">
      <c r="A486" s="188" t="s">
        <v>1182</v>
      </c>
      <c r="B486" s="147" t="s">
        <v>1199</v>
      </c>
      <c r="C486" s="144" t="s">
        <v>1200</v>
      </c>
      <c r="D486" s="145" t="s">
        <v>1201</v>
      </c>
      <c r="E486" s="97"/>
      <c r="F486" s="94"/>
      <c r="G486" s="94"/>
      <c r="H486" s="94"/>
      <c r="I486" s="94" t="b">
        <f>EXACT(C486,O486)</f>
        <v>1</v>
      </c>
      <c r="J486" s="94" t="b">
        <f>EXACT(D486,P486)</f>
        <v>1</v>
      </c>
      <c r="K486" s="94" t="s">
        <v>1568</v>
      </c>
      <c r="L486" s="94"/>
      <c r="M486" s="160" t="s">
        <v>1182</v>
      </c>
      <c r="N486" s="160" t="s">
        <v>1199</v>
      </c>
      <c r="O486" s="159" t="s">
        <v>1200</v>
      </c>
      <c r="P486" s="189" t="s">
        <v>1201</v>
      </c>
      <c r="Q486" s="130"/>
      <c r="R486" s="130"/>
      <c r="S486" s="130"/>
    </row>
    <row r="487" spans="1:19" s="75" customFormat="1" ht="74.599999999999994">
      <c r="A487" s="188" t="s">
        <v>1182</v>
      </c>
      <c r="B487" s="147" t="s">
        <v>658</v>
      </c>
      <c r="C487" s="144" t="s">
        <v>1220</v>
      </c>
      <c r="D487" s="145" t="s">
        <v>1221</v>
      </c>
      <c r="E487" s="97"/>
      <c r="F487" s="94"/>
      <c r="G487" s="94"/>
      <c r="H487" s="94"/>
      <c r="I487" s="94" t="b">
        <f>EXACT(C487,O487)</f>
        <v>1</v>
      </c>
      <c r="J487" s="94" t="b">
        <f>EXACT(D487,P487)</f>
        <v>1</v>
      </c>
      <c r="K487" s="94" t="s">
        <v>1568</v>
      </c>
      <c r="L487" s="94"/>
      <c r="M487" s="160" t="s">
        <v>1182</v>
      </c>
      <c r="N487" s="160" t="s">
        <v>658</v>
      </c>
      <c r="O487" s="159" t="s">
        <v>1220</v>
      </c>
      <c r="P487" s="189" t="s">
        <v>1221</v>
      </c>
      <c r="Q487" s="130"/>
      <c r="R487" s="130"/>
      <c r="S487" s="130"/>
    </row>
    <row r="488" spans="1:19" s="75" customFormat="1" ht="87">
      <c r="A488" s="188" t="s">
        <v>1182</v>
      </c>
      <c r="B488" s="147" t="s">
        <v>1226</v>
      </c>
      <c r="C488" s="144" t="s">
        <v>1233</v>
      </c>
      <c r="D488" s="145" t="s">
        <v>1234</v>
      </c>
      <c r="E488" s="97"/>
      <c r="F488" s="94"/>
      <c r="G488" s="94"/>
      <c r="H488" s="94"/>
      <c r="I488" s="94" t="b">
        <f>EXACT(C488,O488)</f>
        <v>1</v>
      </c>
      <c r="J488" s="94" t="b">
        <f>EXACT(D488,P488)</f>
        <v>1</v>
      </c>
      <c r="K488" s="94" t="s">
        <v>1568</v>
      </c>
      <c r="L488" s="94"/>
      <c r="M488" s="160" t="s">
        <v>1182</v>
      </c>
      <c r="N488" s="160" t="s">
        <v>1226</v>
      </c>
      <c r="O488" s="159" t="s">
        <v>1233</v>
      </c>
      <c r="P488" s="189" t="s">
        <v>1234</v>
      </c>
      <c r="Q488" s="130"/>
      <c r="R488" s="130"/>
      <c r="S488" s="130"/>
    </row>
    <row r="489" spans="1:19" s="75" customFormat="1" ht="62.15">
      <c r="A489" s="188" t="s">
        <v>1182</v>
      </c>
      <c r="B489" s="147" t="s">
        <v>317</v>
      </c>
      <c r="C489" s="144" t="s">
        <v>1195</v>
      </c>
      <c r="D489" s="145" t="s">
        <v>1196</v>
      </c>
      <c r="E489" s="97"/>
      <c r="F489" s="94"/>
      <c r="G489" s="94"/>
      <c r="H489" s="94"/>
      <c r="I489" s="94" t="b">
        <f>EXACT(C489,O489)</f>
        <v>1</v>
      </c>
      <c r="J489" s="94" t="b">
        <f>EXACT(D489,P489)</f>
        <v>1</v>
      </c>
      <c r="K489" s="94" t="s">
        <v>1568</v>
      </c>
      <c r="L489" s="94"/>
      <c r="M489" s="160" t="s">
        <v>1182</v>
      </c>
      <c r="N489" s="160" t="s">
        <v>317</v>
      </c>
      <c r="O489" s="159" t="s">
        <v>1195</v>
      </c>
      <c r="P489" s="189" t="s">
        <v>1196</v>
      </c>
      <c r="Q489" s="130"/>
      <c r="R489" s="130"/>
      <c r="S489" s="130"/>
    </row>
    <row r="490" spans="1:19" s="75" customFormat="1" ht="62.15">
      <c r="A490" s="188" t="s">
        <v>1182</v>
      </c>
      <c r="B490" s="147" t="s">
        <v>658</v>
      </c>
      <c r="C490" s="144" t="s">
        <v>1222</v>
      </c>
      <c r="D490" s="145" t="s">
        <v>1223</v>
      </c>
      <c r="E490" s="97"/>
      <c r="F490" s="94"/>
      <c r="G490" s="94"/>
      <c r="H490" s="94"/>
      <c r="I490" s="94" t="b">
        <f>EXACT(C490,O490)</f>
        <v>1</v>
      </c>
      <c r="J490" s="94" t="b">
        <f>EXACT(D490,P490)</f>
        <v>1</v>
      </c>
      <c r="K490" s="94" t="s">
        <v>1568</v>
      </c>
      <c r="L490" s="94"/>
      <c r="M490" s="160" t="s">
        <v>1182</v>
      </c>
      <c r="N490" s="160" t="s">
        <v>658</v>
      </c>
      <c r="O490" s="159" t="s">
        <v>1222</v>
      </c>
      <c r="P490" s="189" t="s">
        <v>1223</v>
      </c>
      <c r="Q490" s="130"/>
      <c r="R490" s="130"/>
      <c r="S490" s="130"/>
    </row>
    <row r="491" spans="1:19" s="75" customFormat="1" ht="62.15">
      <c r="A491" s="188" t="s">
        <v>1182</v>
      </c>
      <c r="B491" s="147" t="s">
        <v>1205</v>
      </c>
      <c r="C491" s="144" t="s">
        <v>1208</v>
      </c>
      <c r="D491" s="145" t="s">
        <v>1209</v>
      </c>
      <c r="E491" s="97"/>
      <c r="F491" s="94"/>
      <c r="G491" s="94"/>
      <c r="H491" s="94"/>
      <c r="I491" s="94" t="b">
        <f>EXACT(C491,O491)</f>
        <v>1</v>
      </c>
      <c r="J491" s="94" t="b">
        <f>EXACT(D491,P491)</f>
        <v>1</v>
      </c>
      <c r="K491" s="94" t="s">
        <v>1568</v>
      </c>
      <c r="L491" s="94"/>
      <c r="M491" s="160" t="s">
        <v>1182</v>
      </c>
      <c r="N491" s="160" t="s">
        <v>1205</v>
      </c>
      <c r="O491" s="159" t="s">
        <v>1208</v>
      </c>
      <c r="P491" s="189" t="s">
        <v>1209</v>
      </c>
      <c r="Q491" s="130"/>
      <c r="R491" s="130"/>
      <c r="S491" s="130"/>
    </row>
    <row r="492" spans="1:19" s="75" customFormat="1" ht="62.15">
      <c r="A492" s="188" t="s">
        <v>1182</v>
      </c>
      <c r="B492" s="147" t="s">
        <v>317</v>
      </c>
      <c r="C492" s="144" t="s">
        <v>1197</v>
      </c>
      <c r="D492" s="145" t="s">
        <v>1198</v>
      </c>
      <c r="E492" s="97"/>
      <c r="F492" s="94"/>
      <c r="G492" s="94"/>
      <c r="H492" s="94"/>
      <c r="I492" s="94" t="b">
        <f>EXACT(C492,O492)</f>
        <v>1</v>
      </c>
      <c r="J492" s="94" t="b">
        <f>EXACT(D492,P492)</f>
        <v>1</v>
      </c>
      <c r="K492" s="94" t="s">
        <v>1568</v>
      </c>
      <c r="L492" s="94"/>
      <c r="M492" s="160" t="s">
        <v>1182</v>
      </c>
      <c r="N492" s="160" t="s">
        <v>317</v>
      </c>
      <c r="O492" s="159" t="s">
        <v>1197</v>
      </c>
      <c r="P492" s="189" t="s">
        <v>1198</v>
      </c>
      <c r="Q492" s="130"/>
      <c r="R492" s="130"/>
      <c r="S492" s="130"/>
    </row>
    <row r="493" spans="1:19" s="75" customFormat="1" ht="62.15">
      <c r="A493" s="188" t="s">
        <v>1182</v>
      </c>
      <c r="B493" s="147" t="s">
        <v>658</v>
      </c>
      <c r="C493" s="144" t="s">
        <v>1224</v>
      </c>
      <c r="D493" s="145" t="s">
        <v>1225</v>
      </c>
      <c r="E493" s="97"/>
      <c r="F493" s="94"/>
      <c r="G493" s="94"/>
      <c r="H493" s="94"/>
      <c r="I493" s="94" t="b">
        <f>EXACT(C493,O493)</f>
        <v>1</v>
      </c>
      <c r="J493" s="94" t="b">
        <f>EXACT(D493,P493)</f>
        <v>1</v>
      </c>
      <c r="K493" s="94" t="s">
        <v>1568</v>
      </c>
      <c r="L493" s="94"/>
      <c r="M493" s="160" t="s">
        <v>1182</v>
      </c>
      <c r="N493" s="160" t="s">
        <v>658</v>
      </c>
      <c r="O493" s="159" t="s">
        <v>1224</v>
      </c>
      <c r="P493" s="189" t="s">
        <v>1225</v>
      </c>
      <c r="Q493" s="130"/>
      <c r="R493" s="130"/>
      <c r="S493" s="130"/>
    </row>
    <row r="494" spans="1:19" s="75" customFormat="1" ht="62.15">
      <c r="A494" s="188" t="s">
        <v>1235</v>
      </c>
      <c r="B494" s="147" t="s">
        <v>1263</v>
      </c>
      <c r="C494" s="158" t="s">
        <v>1264</v>
      </c>
      <c r="D494" s="145" t="s">
        <v>1265</v>
      </c>
      <c r="E494" s="97"/>
      <c r="F494" s="94"/>
      <c r="G494" s="94"/>
      <c r="H494" s="94"/>
      <c r="I494" s="94" t="b">
        <f>EXACT(C494,O494)</f>
        <v>1</v>
      </c>
      <c r="J494" s="94" t="b">
        <f>EXACT(D494,P494)</f>
        <v>1</v>
      </c>
      <c r="K494" s="94" t="s">
        <v>1568</v>
      </c>
      <c r="L494" s="94"/>
      <c r="M494" s="160" t="s">
        <v>1235</v>
      </c>
      <c r="N494" s="160" t="s">
        <v>1263</v>
      </c>
      <c r="O494" s="171" t="s">
        <v>1264</v>
      </c>
      <c r="P494" s="189" t="s">
        <v>1265</v>
      </c>
      <c r="Q494" s="130"/>
      <c r="R494" s="130"/>
      <c r="S494" s="130"/>
    </row>
    <row r="495" spans="1:19" s="75" customFormat="1" ht="24.9">
      <c r="A495" s="188" t="s">
        <v>1235</v>
      </c>
      <c r="B495" s="147" t="s">
        <v>1254</v>
      </c>
      <c r="C495" s="158" t="s">
        <v>1255</v>
      </c>
      <c r="D495" s="145" t="s">
        <v>1256</v>
      </c>
      <c r="E495" s="97"/>
      <c r="F495" s="94"/>
      <c r="G495" s="94"/>
      <c r="H495" s="94"/>
      <c r="I495" s="94" t="b">
        <f>EXACT(C495,O495)</f>
        <v>1</v>
      </c>
      <c r="J495" s="94" t="b">
        <f>EXACT(D495,P495)</f>
        <v>1</v>
      </c>
      <c r="K495" s="94" t="s">
        <v>1568</v>
      </c>
      <c r="L495" s="94"/>
      <c r="M495" s="160" t="s">
        <v>1235</v>
      </c>
      <c r="N495" s="160" t="s">
        <v>1254</v>
      </c>
      <c r="O495" s="171" t="s">
        <v>1255</v>
      </c>
      <c r="P495" s="189" t="s">
        <v>1256</v>
      </c>
      <c r="Q495" s="130"/>
      <c r="R495" s="130"/>
      <c r="S495" s="130"/>
    </row>
    <row r="496" spans="1:19" s="75" customFormat="1" ht="37.299999999999997">
      <c r="A496" s="188" t="s">
        <v>1235</v>
      </c>
      <c r="B496" s="147" t="s">
        <v>1243</v>
      </c>
      <c r="C496" s="158" t="s">
        <v>1244</v>
      </c>
      <c r="D496" s="145" t="s">
        <v>1245</v>
      </c>
      <c r="E496" s="97"/>
      <c r="F496" s="94"/>
      <c r="G496" s="94"/>
      <c r="H496" s="94"/>
      <c r="I496" s="94" t="b">
        <f>EXACT(C496,O496)</f>
        <v>1</v>
      </c>
      <c r="J496" s="94" t="b">
        <f>EXACT(D496,P496)</f>
        <v>1</v>
      </c>
      <c r="K496" s="94" t="s">
        <v>1568</v>
      </c>
      <c r="L496" s="94"/>
      <c r="M496" s="160" t="s">
        <v>1235</v>
      </c>
      <c r="N496" s="160" t="s">
        <v>1243</v>
      </c>
      <c r="O496" s="171" t="s">
        <v>1244</v>
      </c>
      <c r="P496" s="189" t="s">
        <v>1245</v>
      </c>
      <c r="Q496" s="130"/>
      <c r="R496" s="130"/>
      <c r="S496" s="130"/>
    </row>
    <row r="497" spans="1:19" s="75" customFormat="1" ht="24.9">
      <c r="A497" s="188" t="s">
        <v>1235</v>
      </c>
      <c r="B497" s="147" t="s">
        <v>1243</v>
      </c>
      <c r="C497" s="158" t="s">
        <v>1246</v>
      </c>
      <c r="D497" s="145" t="s">
        <v>1247</v>
      </c>
      <c r="E497" s="97"/>
      <c r="F497" s="94"/>
      <c r="G497" s="94"/>
      <c r="H497" s="94"/>
      <c r="I497" s="94" t="b">
        <f>EXACT(C497,O497)</f>
        <v>1</v>
      </c>
      <c r="J497" s="94" t="b">
        <f>EXACT(D497,P497)</f>
        <v>1</v>
      </c>
      <c r="K497" s="94" t="s">
        <v>1568</v>
      </c>
      <c r="L497" s="94"/>
      <c r="M497" s="160" t="s">
        <v>1235</v>
      </c>
      <c r="N497" s="160" t="s">
        <v>1243</v>
      </c>
      <c r="O497" s="171" t="s">
        <v>1246</v>
      </c>
      <c r="P497" s="189" t="s">
        <v>1247</v>
      </c>
      <c r="Q497" s="130"/>
      <c r="R497" s="130"/>
      <c r="S497" s="130"/>
    </row>
    <row r="498" spans="1:19" s="75" customFormat="1" ht="74.599999999999994">
      <c r="A498" s="188" t="s">
        <v>1235</v>
      </c>
      <c r="B498" s="147" t="s">
        <v>1243</v>
      </c>
      <c r="C498" s="158" t="s">
        <v>1248</v>
      </c>
      <c r="D498" s="145" t="s">
        <v>1249</v>
      </c>
      <c r="E498" s="97"/>
      <c r="F498" s="94"/>
      <c r="G498" s="94"/>
      <c r="H498" s="94"/>
      <c r="I498" s="94" t="b">
        <f>EXACT(C498,O498)</f>
        <v>1</v>
      </c>
      <c r="J498" s="94" t="b">
        <f>EXACT(D498,P498)</f>
        <v>1</v>
      </c>
      <c r="K498" s="94" t="s">
        <v>1568</v>
      </c>
      <c r="L498" s="94"/>
      <c r="M498" s="160" t="s">
        <v>1235</v>
      </c>
      <c r="N498" s="160" t="s">
        <v>1243</v>
      </c>
      <c r="O498" s="171" t="s">
        <v>1248</v>
      </c>
      <c r="P498" s="189" t="s">
        <v>1249</v>
      </c>
      <c r="Q498" s="130"/>
      <c r="R498" s="130"/>
      <c r="S498" s="130"/>
    </row>
    <row r="499" spans="1:19" s="75" customFormat="1" ht="74.599999999999994">
      <c r="A499" s="188" t="s">
        <v>1235</v>
      </c>
      <c r="B499" s="147" t="s">
        <v>1243</v>
      </c>
      <c r="C499" s="158" t="s">
        <v>1250</v>
      </c>
      <c r="D499" s="145" t="s">
        <v>1251</v>
      </c>
      <c r="E499" s="97"/>
      <c r="F499" s="94"/>
      <c r="G499" s="94"/>
      <c r="H499" s="94"/>
      <c r="I499" s="94" t="b">
        <f>EXACT(C499,O499)</f>
        <v>1</v>
      </c>
      <c r="J499" s="94" t="b">
        <f>EXACT(D499,P499)</f>
        <v>1</v>
      </c>
      <c r="K499" s="94" t="s">
        <v>1568</v>
      </c>
      <c r="L499" s="94"/>
      <c r="M499" s="160" t="s">
        <v>1235</v>
      </c>
      <c r="N499" s="160" t="s">
        <v>1243</v>
      </c>
      <c r="O499" s="171" t="s">
        <v>1250</v>
      </c>
      <c r="P499" s="189" t="s">
        <v>1251</v>
      </c>
      <c r="Q499" s="130"/>
      <c r="R499" s="130"/>
      <c r="S499" s="130"/>
    </row>
    <row r="500" spans="1:19" s="75" customFormat="1" ht="74.599999999999994">
      <c r="A500" s="188" t="s">
        <v>1235</v>
      </c>
      <c r="B500" s="147" t="s">
        <v>1254</v>
      </c>
      <c r="C500" s="158" t="s">
        <v>1257</v>
      </c>
      <c r="D500" s="145" t="s">
        <v>1258</v>
      </c>
      <c r="E500" s="97"/>
      <c r="F500" s="94"/>
      <c r="G500" s="94"/>
      <c r="H500" s="94"/>
      <c r="I500" s="94" t="b">
        <f>EXACT(C500,O500)</f>
        <v>1</v>
      </c>
      <c r="J500" s="94" t="b">
        <f>EXACT(D500,P500)</f>
        <v>1</v>
      </c>
      <c r="K500" s="94" t="s">
        <v>1568</v>
      </c>
      <c r="L500" s="94"/>
      <c r="M500" s="160" t="s">
        <v>1235</v>
      </c>
      <c r="N500" s="160" t="s">
        <v>1254</v>
      </c>
      <c r="O500" s="171" t="s">
        <v>1257</v>
      </c>
      <c r="P500" s="189" t="s">
        <v>1258</v>
      </c>
      <c r="Q500" s="130"/>
      <c r="R500" s="130"/>
      <c r="S500" s="130"/>
    </row>
    <row r="501" spans="1:19" s="75" customFormat="1" ht="74.599999999999994">
      <c r="A501" s="188" t="s">
        <v>1235</v>
      </c>
      <c r="B501" s="147" t="s">
        <v>1254</v>
      </c>
      <c r="C501" s="158" t="s">
        <v>1259</v>
      </c>
      <c r="D501" s="145" t="s">
        <v>1260</v>
      </c>
      <c r="E501" s="97"/>
      <c r="F501" s="94"/>
      <c r="G501" s="94"/>
      <c r="H501" s="94"/>
      <c r="I501" s="94" t="b">
        <f>EXACT(C501,O501)</f>
        <v>1</v>
      </c>
      <c r="J501" s="94" t="b">
        <f>EXACT(D501,P501)</f>
        <v>1</v>
      </c>
      <c r="K501" s="94" t="s">
        <v>1568</v>
      </c>
      <c r="L501" s="94"/>
      <c r="M501" s="160" t="s">
        <v>1235</v>
      </c>
      <c r="N501" s="160" t="s">
        <v>1254</v>
      </c>
      <c r="O501" s="171" t="s">
        <v>1259</v>
      </c>
      <c r="P501" s="189" t="s">
        <v>1260</v>
      </c>
      <c r="Q501" s="130"/>
      <c r="R501" s="130"/>
      <c r="S501" s="130"/>
    </row>
    <row r="502" spans="1:19" s="75" customFormat="1" ht="74.599999999999994">
      <c r="A502" s="188" t="s">
        <v>1235</v>
      </c>
      <c r="B502" s="147" t="s">
        <v>1254</v>
      </c>
      <c r="C502" s="158" t="s">
        <v>1261</v>
      </c>
      <c r="D502" s="145" t="s">
        <v>1262</v>
      </c>
      <c r="E502" s="97"/>
      <c r="F502" s="94"/>
      <c r="G502" s="94"/>
      <c r="H502" s="94"/>
      <c r="I502" s="94" t="b">
        <f>EXACT(C502,O502)</f>
        <v>1</v>
      </c>
      <c r="J502" s="94" t="b">
        <f>EXACT(D502,P502)</f>
        <v>1</v>
      </c>
      <c r="K502" s="94" t="s">
        <v>1568</v>
      </c>
      <c r="L502" s="94"/>
      <c r="M502" s="160" t="s">
        <v>1235</v>
      </c>
      <c r="N502" s="160" t="s">
        <v>1254</v>
      </c>
      <c r="O502" s="171" t="s">
        <v>1261</v>
      </c>
      <c r="P502" s="189" t="s">
        <v>1262</v>
      </c>
      <c r="Q502" s="130"/>
      <c r="R502" s="130"/>
      <c r="S502" s="130"/>
    </row>
    <row r="503" spans="1:19" s="75" customFormat="1" ht="14.6">
      <c r="A503" s="188" t="s">
        <v>1235</v>
      </c>
      <c r="B503" s="147" t="s">
        <v>1280</v>
      </c>
      <c r="C503" s="158" t="s">
        <v>1281</v>
      </c>
      <c r="D503" s="145" t="s">
        <v>1282</v>
      </c>
      <c r="E503" s="97"/>
      <c r="F503" s="94"/>
      <c r="G503" s="94"/>
      <c r="H503" s="94"/>
      <c r="I503" s="94" t="b">
        <f>EXACT(C503,O503)</f>
        <v>1</v>
      </c>
      <c r="J503" s="94" t="b">
        <f>EXACT(D503,P503)</f>
        <v>1</v>
      </c>
      <c r="K503" s="94" t="s">
        <v>1568</v>
      </c>
      <c r="L503" s="94"/>
      <c r="M503" s="160" t="s">
        <v>1235</v>
      </c>
      <c r="N503" s="160" t="s">
        <v>1280</v>
      </c>
      <c r="O503" s="171" t="s">
        <v>1281</v>
      </c>
      <c r="P503" s="189" t="s">
        <v>1282</v>
      </c>
      <c r="Q503" s="130"/>
      <c r="R503" s="130"/>
      <c r="S503" s="130"/>
    </row>
    <row r="504" spans="1:19" s="75" customFormat="1" ht="14.6">
      <c r="A504" s="188" t="s">
        <v>1235</v>
      </c>
      <c r="B504" s="147" t="s">
        <v>1236</v>
      </c>
      <c r="C504" s="158" t="s">
        <v>1237</v>
      </c>
      <c r="D504" s="145" t="s">
        <v>1238</v>
      </c>
      <c r="E504" s="41"/>
      <c r="F504" s="93"/>
      <c r="G504" s="41"/>
      <c r="H504" s="76"/>
      <c r="I504" s="94" t="b">
        <f>EXACT(C504,O504)</f>
        <v>1</v>
      </c>
      <c r="J504" s="94" t="b">
        <f>EXACT(D504,P504)</f>
        <v>1</v>
      </c>
      <c r="K504" s="94" t="s">
        <v>1568</v>
      </c>
      <c r="L504" s="94"/>
      <c r="M504" s="160" t="s">
        <v>1235</v>
      </c>
      <c r="N504" s="160" t="s">
        <v>1236</v>
      </c>
      <c r="O504" s="171" t="s">
        <v>1237</v>
      </c>
      <c r="P504" s="189" t="s">
        <v>1238</v>
      </c>
      <c r="Q504" s="130"/>
      <c r="R504" s="130"/>
      <c r="S504" s="130"/>
    </row>
    <row r="505" spans="1:19" s="75" customFormat="1" ht="62.15">
      <c r="A505" s="188" t="s">
        <v>1235</v>
      </c>
      <c r="B505" s="147" t="s">
        <v>1263</v>
      </c>
      <c r="C505" s="158" t="s">
        <v>1266</v>
      </c>
      <c r="D505" s="145" t="s">
        <v>1267</v>
      </c>
      <c r="E505" s="97"/>
      <c r="F505" s="94"/>
      <c r="G505" s="94"/>
      <c r="H505" s="94"/>
      <c r="I505" s="94" t="b">
        <f>EXACT(C505,O505)</f>
        <v>1</v>
      </c>
      <c r="J505" s="94" t="b">
        <f>EXACT(D505,P505)</f>
        <v>1</v>
      </c>
      <c r="K505" s="94" t="s">
        <v>1568</v>
      </c>
      <c r="L505" s="94"/>
      <c r="M505" s="160" t="s">
        <v>1235</v>
      </c>
      <c r="N505" s="160" t="s">
        <v>1263</v>
      </c>
      <c r="O505" s="171" t="s">
        <v>1266</v>
      </c>
      <c r="P505" s="189" t="s">
        <v>1267</v>
      </c>
      <c r="Q505" s="130"/>
      <c r="R505" s="130"/>
      <c r="S505" s="130"/>
    </row>
    <row r="506" spans="1:19" s="75" customFormat="1" ht="14.6">
      <c r="A506" s="188" t="s">
        <v>1235</v>
      </c>
      <c r="B506" s="147" t="s">
        <v>1236</v>
      </c>
      <c r="C506" s="158" t="s">
        <v>1239</v>
      </c>
      <c r="D506" s="145" t="s">
        <v>1240</v>
      </c>
      <c r="E506" s="41"/>
      <c r="F506" s="93"/>
      <c r="G506" s="41"/>
      <c r="H506" s="76"/>
      <c r="I506" s="94" t="b">
        <f>EXACT(C506,O506)</f>
        <v>1</v>
      </c>
      <c r="J506" s="94" t="b">
        <f>EXACT(D506,P506)</f>
        <v>1</v>
      </c>
      <c r="K506" s="94" t="s">
        <v>1568</v>
      </c>
      <c r="L506" s="94"/>
      <c r="M506" s="160" t="s">
        <v>1235</v>
      </c>
      <c r="N506" s="160" t="s">
        <v>1236</v>
      </c>
      <c r="O506" s="171" t="s">
        <v>1239</v>
      </c>
      <c r="P506" s="189" t="s">
        <v>1240</v>
      </c>
      <c r="Q506" s="130"/>
      <c r="R506" s="130"/>
      <c r="S506" s="130"/>
    </row>
    <row r="507" spans="1:19" s="75" customFormat="1" ht="14.6">
      <c r="A507" s="188" t="s">
        <v>1235</v>
      </c>
      <c r="B507" s="147" t="s">
        <v>1236</v>
      </c>
      <c r="C507" s="158" t="s">
        <v>1241</v>
      </c>
      <c r="D507" s="145" t="s">
        <v>1242</v>
      </c>
      <c r="E507" s="97"/>
      <c r="F507" s="94"/>
      <c r="G507" s="94"/>
      <c r="H507" s="94"/>
      <c r="I507" s="94" t="b">
        <f>EXACT(C507,O507)</f>
        <v>1</v>
      </c>
      <c r="J507" s="94" t="b">
        <f>EXACT(D507,P507)</f>
        <v>1</v>
      </c>
      <c r="K507" s="94" t="s">
        <v>1568</v>
      </c>
      <c r="L507" s="94"/>
      <c r="M507" s="160" t="s">
        <v>1235</v>
      </c>
      <c r="N507" s="160" t="s">
        <v>1236</v>
      </c>
      <c r="O507" s="171" t="s">
        <v>1241</v>
      </c>
      <c r="P507" s="189" t="s">
        <v>1242</v>
      </c>
      <c r="Q507" s="130"/>
      <c r="R507" s="130"/>
      <c r="S507" s="130"/>
    </row>
    <row r="508" spans="1:19" s="75" customFormat="1" ht="87.45">
      <c r="A508" s="188"/>
      <c r="B508" s="147"/>
      <c r="C508" s="158"/>
      <c r="D508" s="145"/>
      <c r="E508" s="97"/>
      <c r="F508" s="94"/>
      <c r="G508" s="94"/>
      <c r="H508" s="94"/>
      <c r="I508" s="94" t="b">
        <f>EXACT(C508,O508)</f>
        <v>0</v>
      </c>
      <c r="J508" s="94" t="b">
        <f>EXACT(D508,P508)</f>
        <v>0</v>
      </c>
      <c r="K508" s="94" t="s">
        <v>1571</v>
      </c>
      <c r="L508" s="94" t="s">
        <v>1580</v>
      </c>
      <c r="M508" s="160" t="s">
        <v>1235</v>
      </c>
      <c r="N508" s="167" t="s">
        <v>1401</v>
      </c>
      <c r="O508" s="168" t="s">
        <v>1514</v>
      </c>
      <c r="P508" s="200" t="s">
        <v>1515</v>
      </c>
      <c r="Q508" s="130"/>
      <c r="R508" s="130"/>
      <c r="S508" s="130"/>
    </row>
    <row r="509" spans="1:19" s="75" customFormat="1" ht="87.45">
      <c r="A509" s="188"/>
      <c r="B509" s="147"/>
      <c r="C509" s="158"/>
      <c r="D509" s="145"/>
      <c r="E509" s="97"/>
      <c r="F509" s="94"/>
      <c r="G509" s="94"/>
      <c r="H509" s="94"/>
      <c r="I509" s="94" t="b">
        <f>EXACT(C509,O509)</f>
        <v>0</v>
      </c>
      <c r="J509" s="94" t="b">
        <f>EXACT(D509,P509)</f>
        <v>0</v>
      </c>
      <c r="K509" s="94" t="s">
        <v>1571</v>
      </c>
      <c r="L509" s="94" t="s">
        <v>1580</v>
      </c>
      <c r="M509" s="160" t="s">
        <v>1235</v>
      </c>
      <c r="N509" s="167" t="s">
        <v>1401</v>
      </c>
      <c r="O509" s="168" t="s">
        <v>1516</v>
      </c>
      <c r="P509" s="200" t="s">
        <v>1517</v>
      </c>
      <c r="Q509" s="130"/>
      <c r="R509" s="130"/>
      <c r="S509" s="130"/>
    </row>
    <row r="510" spans="1:19" s="75" customFormat="1" ht="72.900000000000006">
      <c r="A510" s="188"/>
      <c r="B510" s="147"/>
      <c r="C510" s="158"/>
      <c r="D510" s="145"/>
      <c r="E510" s="97"/>
      <c r="F510" s="94"/>
      <c r="G510" s="94"/>
      <c r="H510" s="94"/>
      <c r="I510" s="94" t="b">
        <f>EXACT(C510,O510)</f>
        <v>0</v>
      </c>
      <c r="J510" s="94" t="b">
        <f>EXACT(D510,P510)</f>
        <v>0</v>
      </c>
      <c r="K510" s="94" t="s">
        <v>1571</v>
      </c>
      <c r="L510" s="94" t="s">
        <v>1580</v>
      </c>
      <c r="M510" s="160" t="s">
        <v>1235</v>
      </c>
      <c r="N510" s="167" t="s">
        <v>1401</v>
      </c>
      <c r="O510" s="168" t="s">
        <v>1518</v>
      </c>
      <c r="P510" s="200" t="s">
        <v>1519</v>
      </c>
      <c r="Q510" s="130"/>
      <c r="R510" s="130"/>
      <c r="S510" s="130"/>
    </row>
    <row r="511" spans="1:19" s="75" customFormat="1" ht="72.900000000000006">
      <c r="A511" s="188"/>
      <c r="B511" s="147"/>
      <c r="C511" s="158"/>
      <c r="D511" s="145"/>
      <c r="E511" s="97"/>
      <c r="F511" s="94"/>
      <c r="G511" s="94"/>
      <c r="H511" s="94"/>
      <c r="I511" s="94" t="b">
        <f>EXACT(C511,O511)</f>
        <v>0</v>
      </c>
      <c r="J511" s="94" t="b">
        <f>EXACT(D511,P511)</f>
        <v>0</v>
      </c>
      <c r="K511" s="94" t="s">
        <v>1571</v>
      </c>
      <c r="L511" s="94" t="s">
        <v>1580</v>
      </c>
      <c r="M511" s="160" t="s">
        <v>1235</v>
      </c>
      <c r="N511" s="167" t="s">
        <v>1401</v>
      </c>
      <c r="O511" s="168" t="s">
        <v>1520</v>
      </c>
      <c r="P511" s="200" t="s">
        <v>1521</v>
      </c>
      <c r="Q511" s="130"/>
      <c r="R511" s="130"/>
      <c r="S511" s="130"/>
    </row>
    <row r="512" spans="1:19" s="75" customFormat="1" ht="87.45">
      <c r="A512" s="188"/>
      <c r="B512" s="147"/>
      <c r="C512" s="158"/>
      <c r="D512" s="145"/>
      <c r="E512" s="97"/>
      <c r="F512" s="94"/>
      <c r="G512" s="94"/>
      <c r="H512" s="94"/>
      <c r="I512" s="94" t="b">
        <f>EXACT(C512,O512)</f>
        <v>0</v>
      </c>
      <c r="J512" s="94" t="b">
        <f>EXACT(D512,P512)</f>
        <v>0</v>
      </c>
      <c r="K512" s="94" t="s">
        <v>1571</v>
      </c>
      <c r="L512" s="94" t="s">
        <v>1580</v>
      </c>
      <c r="M512" s="160" t="s">
        <v>1235</v>
      </c>
      <c r="N512" s="167" t="s">
        <v>1401</v>
      </c>
      <c r="O512" s="168" t="s">
        <v>1522</v>
      </c>
      <c r="P512" s="200" t="s">
        <v>1523</v>
      </c>
      <c r="Q512" s="130"/>
      <c r="R512" s="130"/>
      <c r="S512" s="130"/>
    </row>
    <row r="513" spans="1:19" s="75" customFormat="1" ht="87.45">
      <c r="A513" s="188"/>
      <c r="B513" s="147"/>
      <c r="C513" s="158"/>
      <c r="D513" s="145"/>
      <c r="E513" s="97"/>
      <c r="F513" s="94"/>
      <c r="G513" s="94"/>
      <c r="H513" s="94"/>
      <c r="I513" s="94" t="b">
        <f>EXACT(C513,O513)</f>
        <v>0</v>
      </c>
      <c r="J513" s="94" t="b">
        <f>EXACT(D513,P513)</f>
        <v>0</v>
      </c>
      <c r="K513" s="94" t="s">
        <v>1571</v>
      </c>
      <c r="L513" s="94" t="s">
        <v>1580</v>
      </c>
      <c r="M513" s="160" t="s">
        <v>1235</v>
      </c>
      <c r="N513" s="167" t="s">
        <v>1401</v>
      </c>
      <c r="O513" s="168" t="s">
        <v>1524</v>
      </c>
      <c r="P513" s="200" t="s">
        <v>1525</v>
      </c>
      <c r="Q513" s="130"/>
      <c r="R513" s="130"/>
      <c r="S513" s="130"/>
    </row>
    <row r="514" spans="1:19" s="75" customFormat="1" ht="87.45">
      <c r="A514" s="188"/>
      <c r="B514" s="147"/>
      <c r="C514" s="158"/>
      <c r="D514" s="145"/>
      <c r="E514" s="97"/>
      <c r="F514" s="94"/>
      <c r="G514" s="94"/>
      <c r="H514" s="94"/>
      <c r="I514" s="94" t="b">
        <f>EXACT(C514,O514)</f>
        <v>0</v>
      </c>
      <c r="J514" s="94" t="b">
        <f>EXACT(D514,P514)</f>
        <v>0</v>
      </c>
      <c r="K514" s="94" t="s">
        <v>1571</v>
      </c>
      <c r="L514" s="94" t="s">
        <v>1580</v>
      </c>
      <c r="M514" s="160" t="s">
        <v>1235</v>
      </c>
      <c r="N514" s="167" t="s">
        <v>1401</v>
      </c>
      <c r="O514" s="168" t="s">
        <v>1526</v>
      </c>
      <c r="P514" s="200" t="s">
        <v>1527</v>
      </c>
      <c r="Q514" s="130"/>
      <c r="R514" s="130"/>
      <c r="S514" s="130"/>
    </row>
    <row r="515" spans="1:19" s="75" customFormat="1" ht="72.900000000000006">
      <c r="A515" s="188"/>
      <c r="B515" s="147"/>
      <c r="C515" s="158"/>
      <c r="D515" s="145"/>
      <c r="E515" s="97"/>
      <c r="F515" s="94"/>
      <c r="G515" s="94"/>
      <c r="H515" s="94"/>
      <c r="I515" s="94" t="b">
        <f>EXACT(C515,O515)</f>
        <v>0</v>
      </c>
      <c r="J515" s="94" t="b">
        <f>EXACT(D515,P515)</f>
        <v>0</v>
      </c>
      <c r="K515" s="94" t="s">
        <v>1571</v>
      </c>
      <c r="L515" s="94" t="s">
        <v>1580</v>
      </c>
      <c r="M515" s="160" t="s">
        <v>1235</v>
      </c>
      <c r="N515" s="167" t="s">
        <v>1401</v>
      </c>
      <c r="O515" s="168" t="s">
        <v>1528</v>
      </c>
      <c r="P515" s="200" t="s">
        <v>1529</v>
      </c>
      <c r="Q515" s="131"/>
      <c r="R515" s="131"/>
      <c r="S515" s="131"/>
    </row>
    <row r="516" spans="1:19" s="75" customFormat="1" ht="24.9">
      <c r="A516" s="188" t="s">
        <v>1235</v>
      </c>
      <c r="B516" s="147" t="s">
        <v>1263</v>
      </c>
      <c r="C516" s="158" t="s">
        <v>1268</v>
      </c>
      <c r="D516" s="145" t="s">
        <v>1269</v>
      </c>
      <c r="E516" s="97"/>
      <c r="F516" s="94"/>
      <c r="G516" s="94"/>
      <c r="H516" s="94"/>
      <c r="I516" s="94" t="b">
        <f>EXACT(C516,O516)</f>
        <v>1</v>
      </c>
      <c r="J516" s="94" t="b">
        <f>EXACT(D516,P516)</f>
        <v>1</v>
      </c>
      <c r="K516" s="94" t="s">
        <v>1568</v>
      </c>
      <c r="L516" s="94"/>
      <c r="M516" s="160" t="s">
        <v>1235</v>
      </c>
      <c r="N516" s="160" t="s">
        <v>1263</v>
      </c>
      <c r="O516" s="171" t="s">
        <v>1268</v>
      </c>
      <c r="P516" s="189" t="s">
        <v>1269</v>
      </c>
      <c r="Q516" s="131"/>
      <c r="R516" s="131"/>
      <c r="S516" s="131"/>
    </row>
    <row r="517" spans="1:19" s="75" customFormat="1" ht="72.900000000000006">
      <c r="A517" s="188"/>
      <c r="B517" s="147"/>
      <c r="C517" s="158"/>
      <c r="D517" s="145"/>
      <c r="E517" s="97"/>
      <c r="F517" s="94"/>
      <c r="G517" s="94"/>
      <c r="H517" s="94"/>
      <c r="I517" s="94" t="b">
        <f>EXACT(C517,O517)</f>
        <v>0</v>
      </c>
      <c r="J517" s="94" t="b">
        <f>EXACT(D517,P517)</f>
        <v>0</v>
      </c>
      <c r="K517" s="94" t="s">
        <v>1571</v>
      </c>
      <c r="L517" s="94" t="s">
        <v>1580</v>
      </c>
      <c r="M517" s="160" t="s">
        <v>1235</v>
      </c>
      <c r="N517" s="167" t="s">
        <v>1418</v>
      </c>
      <c r="O517" s="168" t="s">
        <v>1530</v>
      </c>
      <c r="P517" s="200" t="s">
        <v>1531</v>
      </c>
      <c r="Q517" s="130"/>
      <c r="R517" s="130"/>
      <c r="S517" s="130"/>
    </row>
    <row r="518" spans="1:19" s="75" customFormat="1" ht="87.45">
      <c r="A518" s="188"/>
      <c r="B518" s="147"/>
      <c r="C518" s="158"/>
      <c r="D518" s="145"/>
      <c r="E518" s="97"/>
      <c r="F518" s="94"/>
      <c r="G518" s="94"/>
      <c r="H518" s="94"/>
      <c r="I518" s="94" t="b">
        <f>EXACT(C518,O518)</f>
        <v>0</v>
      </c>
      <c r="J518" s="94" t="b">
        <f>EXACT(D518,P518)</f>
        <v>0</v>
      </c>
      <c r="K518" s="94" t="s">
        <v>1571</v>
      </c>
      <c r="L518" s="94" t="s">
        <v>1580</v>
      </c>
      <c r="M518" s="160" t="s">
        <v>1235</v>
      </c>
      <c r="N518" s="167" t="s">
        <v>1418</v>
      </c>
      <c r="O518" s="168" t="s">
        <v>1532</v>
      </c>
      <c r="P518" s="200" t="s">
        <v>1533</v>
      </c>
      <c r="Q518" s="130"/>
      <c r="R518" s="130"/>
      <c r="S518" s="130"/>
    </row>
    <row r="519" spans="1:19" s="75" customFormat="1" ht="87.45">
      <c r="A519" s="188"/>
      <c r="B519" s="147"/>
      <c r="C519" s="158"/>
      <c r="D519" s="145"/>
      <c r="E519" s="97"/>
      <c r="F519" s="94"/>
      <c r="G519" s="94"/>
      <c r="H519" s="94"/>
      <c r="I519" s="94" t="b">
        <f>EXACT(C519,O519)</f>
        <v>0</v>
      </c>
      <c r="J519" s="94" t="b">
        <f>EXACT(D519,P519)</f>
        <v>0</v>
      </c>
      <c r="K519" s="94" t="s">
        <v>1571</v>
      </c>
      <c r="L519" s="94" t="s">
        <v>1580</v>
      </c>
      <c r="M519" s="160" t="s">
        <v>1235</v>
      </c>
      <c r="N519" s="167" t="s">
        <v>1418</v>
      </c>
      <c r="O519" s="168" t="s">
        <v>1534</v>
      </c>
      <c r="P519" s="200" t="s">
        <v>1535</v>
      </c>
      <c r="Q519" s="130"/>
      <c r="R519" s="130"/>
      <c r="S519" s="130"/>
    </row>
    <row r="520" spans="1:19" s="75" customFormat="1" ht="87.45">
      <c r="A520" s="188"/>
      <c r="B520" s="147"/>
      <c r="C520" s="158"/>
      <c r="D520" s="145"/>
      <c r="E520" s="97"/>
      <c r="F520" s="94"/>
      <c r="G520" s="94"/>
      <c r="H520" s="94"/>
      <c r="I520" s="94" t="b">
        <f>EXACT(C520,O520)</f>
        <v>0</v>
      </c>
      <c r="J520" s="94" t="b">
        <f>EXACT(D520,P520)</f>
        <v>0</v>
      </c>
      <c r="K520" s="94" t="s">
        <v>1571</v>
      </c>
      <c r="L520" s="94" t="s">
        <v>1580</v>
      </c>
      <c r="M520" s="160" t="s">
        <v>1235</v>
      </c>
      <c r="N520" s="167" t="s">
        <v>1418</v>
      </c>
      <c r="O520" s="168" t="s">
        <v>1536</v>
      </c>
      <c r="P520" s="200" t="s">
        <v>1537</v>
      </c>
      <c r="Q520" s="130"/>
      <c r="R520" s="130"/>
      <c r="S520" s="130"/>
    </row>
    <row r="521" spans="1:19" s="75" customFormat="1" ht="72.900000000000006">
      <c r="A521" s="188"/>
      <c r="B521" s="147"/>
      <c r="C521" s="158"/>
      <c r="D521" s="145"/>
      <c r="E521" s="97"/>
      <c r="F521" s="94"/>
      <c r="G521" s="94"/>
      <c r="H521" s="94"/>
      <c r="I521" s="94" t="b">
        <f>EXACT(C521,O521)</f>
        <v>0</v>
      </c>
      <c r="J521" s="94" t="b">
        <f>EXACT(D521,P521)</f>
        <v>0</v>
      </c>
      <c r="K521" s="94" t="s">
        <v>1571</v>
      </c>
      <c r="L521" s="94" t="s">
        <v>1580</v>
      </c>
      <c r="M521" s="160" t="s">
        <v>1235</v>
      </c>
      <c r="N521" s="167" t="s">
        <v>1418</v>
      </c>
      <c r="O521" s="168" t="s">
        <v>1538</v>
      </c>
      <c r="P521" s="200" t="s">
        <v>1539</v>
      </c>
      <c r="Q521" s="130"/>
      <c r="R521" s="130"/>
      <c r="S521" s="130"/>
    </row>
    <row r="522" spans="1:19" s="75" customFormat="1" ht="72.900000000000006">
      <c r="A522" s="188"/>
      <c r="B522" s="147"/>
      <c r="C522" s="158"/>
      <c r="D522" s="145"/>
      <c r="E522" s="97"/>
      <c r="F522" s="94"/>
      <c r="G522" s="94"/>
      <c r="H522" s="94"/>
      <c r="I522" s="94" t="b">
        <f>EXACT(C522,O522)</f>
        <v>0</v>
      </c>
      <c r="J522" s="94" t="b">
        <f>EXACT(D522,P522)</f>
        <v>0</v>
      </c>
      <c r="K522" s="94" t="s">
        <v>1571</v>
      </c>
      <c r="L522" s="94" t="s">
        <v>1580</v>
      </c>
      <c r="M522" s="160" t="s">
        <v>1235</v>
      </c>
      <c r="N522" s="167" t="s">
        <v>1418</v>
      </c>
      <c r="O522" s="168" t="s">
        <v>1540</v>
      </c>
      <c r="P522" s="200" t="s">
        <v>1541</v>
      </c>
      <c r="Q522" s="130"/>
      <c r="R522" s="130"/>
      <c r="S522" s="130"/>
    </row>
    <row r="523" spans="1:19" s="75" customFormat="1" ht="72.900000000000006">
      <c r="A523" s="188"/>
      <c r="B523" s="147"/>
      <c r="C523" s="158"/>
      <c r="D523" s="145"/>
      <c r="E523" s="97"/>
      <c r="F523" s="94"/>
      <c r="G523" s="94"/>
      <c r="H523" s="94"/>
      <c r="I523" s="94" t="b">
        <f>EXACT(C523,O523)</f>
        <v>0</v>
      </c>
      <c r="J523" s="94" t="b">
        <f>EXACT(D523,P523)</f>
        <v>0</v>
      </c>
      <c r="K523" s="94" t="s">
        <v>1571</v>
      </c>
      <c r="L523" s="94" t="s">
        <v>1580</v>
      </c>
      <c r="M523" s="160" t="s">
        <v>1235</v>
      </c>
      <c r="N523" s="167" t="s">
        <v>1418</v>
      </c>
      <c r="O523" s="168" t="s">
        <v>1542</v>
      </c>
      <c r="P523" s="200" t="s">
        <v>1543</v>
      </c>
      <c r="Q523" s="130"/>
      <c r="R523" s="130"/>
      <c r="S523" s="130"/>
    </row>
    <row r="524" spans="1:19" s="75" customFormat="1" ht="87.45">
      <c r="A524" s="188"/>
      <c r="B524" s="147"/>
      <c r="C524" s="158"/>
      <c r="D524" s="145"/>
      <c r="E524" s="97"/>
      <c r="F524" s="94"/>
      <c r="G524" s="94"/>
      <c r="H524" s="94"/>
      <c r="I524" s="94" t="b">
        <f>EXACT(C524,O524)</f>
        <v>0</v>
      </c>
      <c r="J524" s="94" t="b">
        <f>EXACT(D524,P524)</f>
        <v>0</v>
      </c>
      <c r="K524" s="94" t="s">
        <v>1571</v>
      </c>
      <c r="L524" s="94" t="s">
        <v>1580</v>
      </c>
      <c r="M524" s="160" t="s">
        <v>1235</v>
      </c>
      <c r="N524" s="167" t="s">
        <v>1418</v>
      </c>
      <c r="O524" s="168" t="s">
        <v>1544</v>
      </c>
      <c r="P524" s="200" t="s">
        <v>1545</v>
      </c>
      <c r="Q524" s="130"/>
      <c r="R524" s="130"/>
      <c r="S524" s="130"/>
    </row>
    <row r="525" spans="1:19" s="75" customFormat="1" ht="87.45">
      <c r="A525" s="188"/>
      <c r="B525" s="147"/>
      <c r="C525" s="158"/>
      <c r="D525" s="145"/>
      <c r="E525" s="97"/>
      <c r="F525" s="94"/>
      <c r="G525" s="94"/>
      <c r="H525" s="94"/>
      <c r="I525" s="94" t="b">
        <f>EXACT(C525,O525)</f>
        <v>0</v>
      </c>
      <c r="J525" s="94" t="b">
        <f>EXACT(D525,P525)</f>
        <v>0</v>
      </c>
      <c r="K525" s="94" t="s">
        <v>1571</v>
      </c>
      <c r="L525" s="94" t="s">
        <v>1580</v>
      </c>
      <c r="M525" s="160" t="s">
        <v>1235</v>
      </c>
      <c r="N525" s="167" t="s">
        <v>1418</v>
      </c>
      <c r="O525" s="168" t="s">
        <v>1546</v>
      </c>
      <c r="P525" s="200" t="s">
        <v>1547</v>
      </c>
      <c r="Q525" s="130"/>
      <c r="R525" s="130"/>
      <c r="S525" s="130"/>
    </row>
    <row r="526" spans="1:19" s="75" customFormat="1" ht="72.900000000000006">
      <c r="A526" s="188"/>
      <c r="B526" s="147"/>
      <c r="C526" s="158"/>
      <c r="D526" s="145"/>
      <c r="E526" s="97"/>
      <c r="F526" s="94"/>
      <c r="G526" s="94"/>
      <c r="H526" s="94"/>
      <c r="I526" s="94" t="b">
        <f>EXACT(C526,O526)</f>
        <v>0</v>
      </c>
      <c r="J526" s="94" t="b">
        <f>EXACT(D526,P526)</f>
        <v>0</v>
      </c>
      <c r="K526" s="94" t="s">
        <v>1571</v>
      </c>
      <c r="L526" s="94" t="s">
        <v>1580</v>
      </c>
      <c r="M526" s="160" t="s">
        <v>1235</v>
      </c>
      <c r="N526" s="167" t="s">
        <v>1436</v>
      </c>
      <c r="O526" s="168" t="s">
        <v>1548</v>
      </c>
      <c r="P526" s="200" t="s">
        <v>1549</v>
      </c>
      <c r="Q526" s="130"/>
      <c r="R526" s="130"/>
      <c r="S526" s="130"/>
    </row>
    <row r="527" spans="1:19" s="75" customFormat="1" ht="37.299999999999997">
      <c r="A527" s="188" t="s">
        <v>1235</v>
      </c>
      <c r="B527" s="147" t="s">
        <v>1263</v>
      </c>
      <c r="C527" s="158" t="s">
        <v>1270</v>
      </c>
      <c r="D527" s="145" t="s">
        <v>1271</v>
      </c>
      <c r="E527" s="97"/>
      <c r="F527" s="94"/>
      <c r="G527" s="94"/>
      <c r="H527" s="94"/>
      <c r="I527" s="94" t="b">
        <f>EXACT(C527,O527)</f>
        <v>1</v>
      </c>
      <c r="J527" s="94" t="b">
        <f>EXACT(D527,P527)</f>
        <v>1</v>
      </c>
      <c r="K527" s="94" t="s">
        <v>1568</v>
      </c>
      <c r="L527" s="94"/>
      <c r="M527" s="160" t="s">
        <v>1235</v>
      </c>
      <c r="N527" s="160" t="s">
        <v>1263</v>
      </c>
      <c r="O527" s="171" t="s">
        <v>1270</v>
      </c>
      <c r="P527" s="189" t="s">
        <v>1271</v>
      </c>
      <c r="Q527" s="130"/>
      <c r="R527" s="130"/>
      <c r="S527" s="130"/>
    </row>
    <row r="528" spans="1:19" s="75" customFormat="1" ht="72.900000000000006">
      <c r="A528" s="188"/>
      <c r="B528" s="147"/>
      <c r="C528" s="158"/>
      <c r="D528" s="145"/>
      <c r="E528" s="97"/>
      <c r="F528" s="94"/>
      <c r="G528" s="94"/>
      <c r="H528" s="94"/>
      <c r="I528" s="94" t="b">
        <f>EXACT(C528,O528)</f>
        <v>0</v>
      </c>
      <c r="J528" s="94" t="b">
        <f>EXACT(D528,P528)</f>
        <v>0</v>
      </c>
      <c r="K528" s="94" t="s">
        <v>1571</v>
      </c>
      <c r="L528" s="94" t="s">
        <v>1580</v>
      </c>
      <c r="M528" s="160" t="s">
        <v>1235</v>
      </c>
      <c r="N528" s="167" t="s">
        <v>1436</v>
      </c>
      <c r="O528" s="168" t="s">
        <v>1550</v>
      </c>
      <c r="P528" s="200" t="s">
        <v>1551</v>
      </c>
      <c r="Q528" s="130"/>
      <c r="R528" s="130"/>
      <c r="S528" s="130"/>
    </row>
    <row r="529" spans="1:19" s="75" customFormat="1" ht="72.900000000000006">
      <c r="A529" s="188"/>
      <c r="B529" s="147"/>
      <c r="C529" s="158"/>
      <c r="D529" s="145"/>
      <c r="E529" s="97"/>
      <c r="F529" s="94"/>
      <c r="G529" s="94"/>
      <c r="H529" s="94"/>
      <c r="I529" s="94" t="b">
        <f>EXACT(C529,O529)</f>
        <v>0</v>
      </c>
      <c r="J529" s="94" t="b">
        <f>EXACT(D529,P529)</f>
        <v>0</v>
      </c>
      <c r="K529" s="94" t="s">
        <v>1571</v>
      </c>
      <c r="L529" s="94" t="s">
        <v>1580</v>
      </c>
      <c r="M529" s="160" t="s">
        <v>1235</v>
      </c>
      <c r="N529" s="167" t="s">
        <v>1436</v>
      </c>
      <c r="O529" s="168" t="s">
        <v>1552</v>
      </c>
      <c r="P529" s="200" t="s">
        <v>1553</v>
      </c>
      <c r="Q529" s="130"/>
      <c r="R529" s="130"/>
      <c r="S529" s="130"/>
    </row>
    <row r="530" spans="1:19" s="75" customFormat="1" ht="72.900000000000006">
      <c r="A530" s="188"/>
      <c r="B530" s="147"/>
      <c r="C530" s="158"/>
      <c r="D530" s="145"/>
      <c r="E530" s="97"/>
      <c r="F530" s="94"/>
      <c r="G530" s="94"/>
      <c r="H530" s="94"/>
      <c r="I530" s="94" t="b">
        <f>EXACT(C530,O530)</f>
        <v>0</v>
      </c>
      <c r="J530" s="94" t="b">
        <f>EXACT(D530,P530)</f>
        <v>0</v>
      </c>
      <c r="K530" s="94" t="s">
        <v>1571</v>
      </c>
      <c r="L530" s="94" t="s">
        <v>1580</v>
      </c>
      <c r="M530" s="160" t="s">
        <v>1235</v>
      </c>
      <c r="N530" s="167" t="s">
        <v>1436</v>
      </c>
      <c r="O530" s="168" t="s">
        <v>1554</v>
      </c>
      <c r="P530" s="200" t="s">
        <v>1555</v>
      </c>
      <c r="Q530" s="130"/>
      <c r="R530" s="130"/>
      <c r="S530" s="130"/>
    </row>
    <row r="531" spans="1:19" s="75" customFormat="1" ht="72.900000000000006">
      <c r="A531" s="188"/>
      <c r="B531" s="147"/>
      <c r="C531" s="158"/>
      <c r="D531" s="145"/>
      <c r="E531" s="97"/>
      <c r="F531" s="94"/>
      <c r="G531" s="94"/>
      <c r="H531" s="94"/>
      <c r="I531" s="94" t="b">
        <f>EXACT(C531,O531)</f>
        <v>0</v>
      </c>
      <c r="J531" s="94" t="b">
        <f>EXACT(D531,P531)</f>
        <v>0</v>
      </c>
      <c r="K531" s="94" t="s">
        <v>1571</v>
      </c>
      <c r="L531" s="94" t="s">
        <v>1580</v>
      </c>
      <c r="M531" s="160" t="s">
        <v>1235</v>
      </c>
      <c r="N531" s="167" t="s">
        <v>1443</v>
      </c>
      <c r="O531" s="168" t="s">
        <v>1556</v>
      </c>
      <c r="P531" s="200" t="s">
        <v>1557</v>
      </c>
      <c r="Q531" s="130"/>
      <c r="R531" s="130"/>
      <c r="S531" s="130"/>
    </row>
    <row r="532" spans="1:19" s="75" customFormat="1" ht="72.900000000000006">
      <c r="A532" s="188"/>
      <c r="B532" s="147"/>
      <c r="C532" s="158"/>
      <c r="D532" s="145"/>
      <c r="E532" s="97"/>
      <c r="F532" s="94"/>
      <c r="G532" s="94"/>
      <c r="H532" s="94"/>
      <c r="I532" s="94" t="b">
        <f>EXACT(C532,O532)</f>
        <v>0</v>
      </c>
      <c r="J532" s="94" t="b">
        <f>EXACT(D532,P532)</f>
        <v>0</v>
      </c>
      <c r="K532" s="94" t="s">
        <v>1571</v>
      </c>
      <c r="L532" s="94" t="s">
        <v>1580</v>
      </c>
      <c r="M532" s="160" t="s">
        <v>1235</v>
      </c>
      <c r="N532" s="167" t="s">
        <v>1443</v>
      </c>
      <c r="O532" s="168" t="s">
        <v>1558</v>
      </c>
      <c r="P532" s="200" t="s">
        <v>1559</v>
      </c>
      <c r="Q532" s="130"/>
      <c r="R532" s="130"/>
      <c r="S532" s="130"/>
    </row>
    <row r="533" spans="1:19" s="75" customFormat="1" ht="72.900000000000006">
      <c r="A533" s="188"/>
      <c r="B533" s="147"/>
      <c r="C533" s="158"/>
      <c r="D533" s="145"/>
      <c r="E533" s="97"/>
      <c r="F533" s="94"/>
      <c r="G533" s="94"/>
      <c r="H533" s="94"/>
      <c r="I533" s="94" t="b">
        <f>EXACT(C533,O533)</f>
        <v>0</v>
      </c>
      <c r="J533" s="94" t="b">
        <f>EXACT(D533,P533)</f>
        <v>0</v>
      </c>
      <c r="K533" s="94" t="s">
        <v>1571</v>
      </c>
      <c r="L533" s="94" t="s">
        <v>1580</v>
      </c>
      <c r="M533" s="160" t="s">
        <v>1235</v>
      </c>
      <c r="N533" s="167" t="s">
        <v>1443</v>
      </c>
      <c r="O533" s="168" t="s">
        <v>1560</v>
      </c>
      <c r="P533" s="200" t="s">
        <v>1561</v>
      </c>
      <c r="Q533" s="130"/>
      <c r="R533" s="130"/>
      <c r="S533" s="130"/>
    </row>
    <row r="534" spans="1:19" s="75" customFormat="1" ht="58.3">
      <c r="A534" s="188"/>
      <c r="B534" s="147"/>
      <c r="C534" s="158"/>
      <c r="D534" s="145"/>
      <c r="E534" s="97"/>
      <c r="F534" s="94"/>
      <c r="G534" s="94"/>
      <c r="H534" s="94"/>
      <c r="I534" s="94" t="b">
        <f>EXACT(C534,O534)</f>
        <v>0</v>
      </c>
      <c r="J534" s="94" t="b">
        <f>EXACT(D534,P534)</f>
        <v>0</v>
      </c>
      <c r="K534" s="94" t="s">
        <v>1571</v>
      </c>
      <c r="L534" s="94" t="s">
        <v>1580</v>
      </c>
      <c r="M534" s="160" t="s">
        <v>1235</v>
      </c>
      <c r="N534" s="167" t="s">
        <v>1443</v>
      </c>
      <c r="O534" s="168" t="s">
        <v>1562</v>
      </c>
      <c r="P534" s="200" t="s">
        <v>1563</v>
      </c>
      <c r="Q534" s="130"/>
      <c r="R534" s="130"/>
      <c r="S534" s="130"/>
    </row>
    <row r="535" spans="1:19" s="75" customFormat="1" ht="58.3">
      <c r="A535" s="188"/>
      <c r="B535" s="147"/>
      <c r="C535" s="158"/>
      <c r="D535" s="145"/>
      <c r="E535" s="97"/>
      <c r="F535" s="94"/>
      <c r="G535" s="94"/>
      <c r="H535" s="94"/>
      <c r="I535" s="94" t="b">
        <f>EXACT(C535,O535)</f>
        <v>0</v>
      </c>
      <c r="J535" s="94" t="b">
        <f>EXACT(D535,P535)</f>
        <v>0</v>
      </c>
      <c r="K535" s="94" t="s">
        <v>1571</v>
      </c>
      <c r="L535" s="94" t="s">
        <v>1580</v>
      </c>
      <c r="M535" s="160" t="s">
        <v>1235</v>
      </c>
      <c r="N535" s="167" t="s">
        <v>1443</v>
      </c>
      <c r="O535" s="168" t="s">
        <v>1564</v>
      </c>
      <c r="P535" s="200" t="s">
        <v>1565</v>
      </c>
      <c r="Q535" s="130"/>
      <c r="R535" s="130"/>
      <c r="S535" s="130"/>
    </row>
    <row r="536" spans="1:19" s="75" customFormat="1" ht="24.9">
      <c r="A536" s="188" t="s">
        <v>1235</v>
      </c>
      <c r="B536" s="147" t="s">
        <v>1263</v>
      </c>
      <c r="C536" s="158" t="s">
        <v>1272</v>
      </c>
      <c r="D536" s="145" t="s">
        <v>1273</v>
      </c>
      <c r="E536" s="97"/>
      <c r="F536" s="94"/>
      <c r="G536" s="94"/>
      <c r="H536" s="94"/>
      <c r="I536" s="94" t="b">
        <f>EXACT(C536,O536)</f>
        <v>1</v>
      </c>
      <c r="J536" s="94" t="b">
        <f>EXACT(D536,P536)</f>
        <v>1</v>
      </c>
      <c r="K536" s="94" t="s">
        <v>1568</v>
      </c>
      <c r="L536" s="94"/>
      <c r="M536" s="160" t="s">
        <v>1235</v>
      </c>
      <c r="N536" s="160" t="s">
        <v>1263</v>
      </c>
      <c r="O536" s="171" t="s">
        <v>1272</v>
      </c>
      <c r="P536" s="189" t="s">
        <v>1273</v>
      </c>
      <c r="Q536" s="130"/>
      <c r="R536" s="130"/>
      <c r="S536" s="130"/>
    </row>
    <row r="537" spans="1:19" s="75" customFormat="1" ht="24.9">
      <c r="A537" s="188" t="s">
        <v>1235</v>
      </c>
      <c r="B537" s="147" t="s">
        <v>1263</v>
      </c>
      <c r="C537" s="158" t="s">
        <v>1274</v>
      </c>
      <c r="D537" s="145" t="s">
        <v>1275</v>
      </c>
      <c r="E537" s="97"/>
      <c r="F537" s="94"/>
      <c r="G537" s="94"/>
      <c r="H537" s="94"/>
      <c r="I537" s="94" t="b">
        <f>EXACT(C537,O537)</f>
        <v>1</v>
      </c>
      <c r="J537" s="94" t="b">
        <f>EXACT(D537,P537)</f>
        <v>1</v>
      </c>
      <c r="K537" s="94" t="s">
        <v>1568</v>
      </c>
      <c r="L537" s="94"/>
      <c r="M537" s="160" t="s">
        <v>1235</v>
      </c>
      <c r="N537" s="160" t="s">
        <v>1263</v>
      </c>
      <c r="O537" s="171" t="s">
        <v>1274</v>
      </c>
      <c r="P537" s="189" t="s">
        <v>1275</v>
      </c>
      <c r="Q537" s="130"/>
      <c r="R537" s="130"/>
      <c r="S537" s="130"/>
    </row>
    <row r="538" spans="1:19" s="75" customFormat="1" ht="62.15">
      <c r="A538" s="188" t="s">
        <v>1235</v>
      </c>
      <c r="B538" s="147" t="s">
        <v>1263</v>
      </c>
      <c r="C538" s="158" t="s">
        <v>1276</v>
      </c>
      <c r="D538" s="145" t="s">
        <v>1277</v>
      </c>
      <c r="E538" s="97"/>
      <c r="F538" s="94"/>
      <c r="G538" s="94"/>
      <c r="H538" s="94"/>
      <c r="I538" s="94" t="b">
        <f>EXACT(C538,O538)</f>
        <v>1</v>
      </c>
      <c r="J538" s="94" t="b">
        <f>EXACT(D538,P538)</f>
        <v>1</v>
      </c>
      <c r="K538" s="94" t="s">
        <v>1568</v>
      </c>
      <c r="L538" s="94"/>
      <c r="M538" s="160" t="s">
        <v>1235</v>
      </c>
      <c r="N538" s="160" t="s">
        <v>1263</v>
      </c>
      <c r="O538" s="171" t="s">
        <v>1276</v>
      </c>
      <c r="P538" s="189" t="s">
        <v>1277</v>
      </c>
      <c r="Q538" s="130"/>
      <c r="R538" s="130"/>
      <c r="S538" s="130"/>
    </row>
    <row r="539" spans="1:19" s="75" customFormat="1" ht="24.9">
      <c r="A539" s="188" t="s">
        <v>1235</v>
      </c>
      <c r="B539" s="147" t="s">
        <v>1263</v>
      </c>
      <c r="C539" s="158" t="s">
        <v>1278</v>
      </c>
      <c r="D539" s="145" t="s">
        <v>1279</v>
      </c>
      <c r="E539" s="97"/>
      <c r="F539" s="94"/>
      <c r="G539" s="94"/>
      <c r="H539" s="94"/>
      <c r="I539" s="94" t="b">
        <f>EXACT(C539,O539)</f>
        <v>1</v>
      </c>
      <c r="J539" s="94" t="b">
        <f>EXACT(D539,P539)</f>
        <v>1</v>
      </c>
      <c r="K539" s="94" t="s">
        <v>1568</v>
      </c>
      <c r="L539" s="94"/>
      <c r="M539" s="160" t="s">
        <v>1235</v>
      </c>
      <c r="N539" s="160" t="s">
        <v>1263</v>
      </c>
      <c r="O539" s="171" t="s">
        <v>1278</v>
      </c>
      <c r="P539" s="189" t="s">
        <v>1279</v>
      </c>
      <c r="Q539" s="130"/>
      <c r="R539" s="130"/>
      <c r="S539" s="130"/>
    </row>
    <row r="540" spans="1:19" s="75" customFormat="1" ht="24.9">
      <c r="A540" s="188" t="s">
        <v>1235</v>
      </c>
      <c r="B540" s="147" t="s">
        <v>1243</v>
      </c>
      <c r="C540" s="158" t="s">
        <v>1252</v>
      </c>
      <c r="D540" s="145" t="s">
        <v>1253</v>
      </c>
      <c r="E540" s="97"/>
      <c r="F540" s="94"/>
      <c r="G540" s="94"/>
      <c r="H540" s="94"/>
      <c r="I540" s="94" t="b">
        <f>EXACT(C540,O540)</f>
        <v>1</v>
      </c>
      <c r="J540" s="94" t="b">
        <f>EXACT(D540,P540)</f>
        <v>1</v>
      </c>
      <c r="K540" s="94" t="s">
        <v>1568</v>
      </c>
      <c r="L540" s="94"/>
      <c r="M540" s="160" t="s">
        <v>1235</v>
      </c>
      <c r="N540" s="160" t="s">
        <v>1243</v>
      </c>
      <c r="O540" s="171" t="s">
        <v>1252</v>
      </c>
      <c r="P540" s="189" t="s">
        <v>1253</v>
      </c>
      <c r="Q540" s="130"/>
      <c r="R540" s="130"/>
      <c r="S540" s="130"/>
    </row>
    <row r="541" spans="1:19" s="75" customFormat="1" ht="24.9">
      <c r="A541" s="188" t="s">
        <v>583</v>
      </c>
      <c r="B541" s="147" t="s">
        <v>593</v>
      </c>
      <c r="C541" s="144" t="s">
        <v>594</v>
      </c>
      <c r="D541" s="145" t="s">
        <v>595</v>
      </c>
      <c r="E541" s="97"/>
      <c r="F541" s="94"/>
      <c r="G541" s="94"/>
      <c r="H541" s="94"/>
      <c r="I541" s="94" t="b">
        <f>EXACT(C541,O541)</f>
        <v>1</v>
      </c>
      <c r="J541" s="94" t="b">
        <f>EXACT(D541,P541)</f>
        <v>1</v>
      </c>
      <c r="K541" s="94" t="s">
        <v>1568</v>
      </c>
      <c r="L541" s="94"/>
      <c r="M541" s="160" t="s">
        <v>583</v>
      </c>
      <c r="N541" s="160" t="s">
        <v>593</v>
      </c>
      <c r="O541" s="159" t="s">
        <v>594</v>
      </c>
      <c r="P541" s="189" t="s">
        <v>595</v>
      </c>
      <c r="Q541" s="130"/>
      <c r="R541" s="130"/>
      <c r="S541" s="130"/>
    </row>
    <row r="542" spans="1:19" s="75" customFormat="1" ht="24.9">
      <c r="A542" s="188" t="s">
        <v>583</v>
      </c>
      <c r="B542" s="147" t="s">
        <v>588</v>
      </c>
      <c r="C542" s="144" t="s">
        <v>589</v>
      </c>
      <c r="D542" s="145" t="s">
        <v>590</v>
      </c>
      <c r="E542" s="97"/>
      <c r="F542" s="94"/>
      <c r="G542" s="94"/>
      <c r="H542" s="94"/>
      <c r="I542" s="94" t="b">
        <f>EXACT(C542,O542)</f>
        <v>1</v>
      </c>
      <c r="J542" s="94" t="b">
        <f>EXACT(D542,P542)</f>
        <v>1</v>
      </c>
      <c r="K542" s="94" t="s">
        <v>1568</v>
      </c>
      <c r="L542" s="94"/>
      <c r="M542" s="160" t="s">
        <v>583</v>
      </c>
      <c r="N542" s="160" t="s">
        <v>588</v>
      </c>
      <c r="O542" s="159" t="s">
        <v>589</v>
      </c>
      <c r="P542" s="189" t="s">
        <v>590</v>
      </c>
      <c r="Q542" s="130"/>
      <c r="R542" s="130"/>
      <c r="S542" s="130"/>
    </row>
    <row r="543" spans="1:19" s="75" customFormat="1" ht="74.599999999999994">
      <c r="A543" s="188" t="s">
        <v>583</v>
      </c>
      <c r="B543" s="147" t="s">
        <v>593</v>
      </c>
      <c r="C543" s="144" t="s">
        <v>596</v>
      </c>
      <c r="D543" s="145" t="s">
        <v>597</v>
      </c>
      <c r="E543" s="97"/>
      <c r="F543" s="94"/>
      <c r="G543" s="94"/>
      <c r="H543" s="94"/>
      <c r="I543" s="94" t="b">
        <f>EXACT(C543,O543)</f>
        <v>1</v>
      </c>
      <c r="J543" s="94" t="b">
        <f>EXACT(D543,P543)</f>
        <v>1</v>
      </c>
      <c r="K543" s="94" t="s">
        <v>1568</v>
      </c>
      <c r="L543" s="94"/>
      <c r="M543" s="160" t="s">
        <v>583</v>
      </c>
      <c r="N543" s="160" t="s">
        <v>593</v>
      </c>
      <c r="O543" s="159" t="s">
        <v>596</v>
      </c>
      <c r="P543" s="189" t="s">
        <v>597</v>
      </c>
      <c r="Q543" s="130"/>
      <c r="R543" s="130"/>
      <c r="S543" s="130"/>
    </row>
    <row r="544" spans="1:19" s="75" customFormat="1" ht="24.9">
      <c r="A544" s="188" t="s">
        <v>583</v>
      </c>
      <c r="B544" s="147" t="s">
        <v>593</v>
      </c>
      <c r="C544" s="144" t="s">
        <v>598</v>
      </c>
      <c r="D544" s="145" t="s">
        <v>599</v>
      </c>
      <c r="E544" s="97"/>
      <c r="F544" s="94"/>
      <c r="G544" s="94"/>
      <c r="H544" s="94"/>
      <c r="I544" s="94" t="b">
        <f>EXACT(C544,O544)</f>
        <v>1</v>
      </c>
      <c r="J544" s="94" t="b">
        <f>EXACT(D544,P544)</f>
        <v>1</v>
      </c>
      <c r="K544" s="94" t="s">
        <v>1568</v>
      </c>
      <c r="L544" s="94"/>
      <c r="M544" s="160" t="s">
        <v>583</v>
      </c>
      <c r="N544" s="160" t="s">
        <v>593</v>
      </c>
      <c r="O544" s="159" t="s">
        <v>598</v>
      </c>
      <c r="P544" s="189" t="s">
        <v>599</v>
      </c>
      <c r="Q544" s="130"/>
      <c r="R544" s="130"/>
      <c r="S544" s="130"/>
    </row>
    <row r="545" spans="1:19" s="75" customFormat="1" ht="24.9">
      <c r="A545" s="188" t="s">
        <v>583</v>
      </c>
      <c r="B545" s="147" t="s">
        <v>593</v>
      </c>
      <c r="C545" s="144" t="s">
        <v>600</v>
      </c>
      <c r="D545" s="145" t="s">
        <v>601</v>
      </c>
      <c r="E545" s="97"/>
      <c r="F545" s="94"/>
      <c r="G545" s="94"/>
      <c r="H545" s="94"/>
      <c r="I545" s="94" t="b">
        <f>EXACT(C545,O545)</f>
        <v>1</v>
      </c>
      <c r="J545" s="94" t="b">
        <f>EXACT(D545,P545)</f>
        <v>1</v>
      </c>
      <c r="K545" s="94" t="s">
        <v>1568</v>
      </c>
      <c r="L545" s="94"/>
      <c r="M545" s="160" t="s">
        <v>583</v>
      </c>
      <c r="N545" s="160" t="s">
        <v>593</v>
      </c>
      <c r="O545" s="159" t="s">
        <v>600</v>
      </c>
      <c r="P545" s="189" t="s">
        <v>601</v>
      </c>
      <c r="Q545" s="130"/>
      <c r="R545" s="130"/>
      <c r="S545" s="130"/>
    </row>
    <row r="546" spans="1:19" s="75" customFormat="1" ht="24.9">
      <c r="A546" s="188" t="s">
        <v>583</v>
      </c>
      <c r="B546" s="147" t="s">
        <v>588</v>
      </c>
      <c r="C546" s="144" t="s">
        <v>591</v>
      </c>
      <c r="D546" s="145" t="s">
        <v>592</v>
      </c>
      <c r="E546" s="97"/>
      <c r="F546" s="94"/>
      <c r="G546" s="94"/>
      <c r="H546" s="94"/>
      <c r="I546" s="94" t="b">
        <f>EXACT(C546,O546)</f>
        <v>1</v>
      </c>
      <c r="J546" s="94" t="b">
        <f>EXACT(D546,P546)</f>
        <v>1</v>
      </c>
      <c r="K546" s="94" t="s">
        <v>1568</v>
      </c>
      <c r="L546" s="94"/>
      <c r="M546" s="160" t="s">
        <v>583</v>
      </c>
      <c r="N546" s="160" t="s">
        <v>588</v>
      </c>
      <c r="O546" s="159" t="s">
        <v>591</v>
      </c>
      <c r="P546" s="189" t="s">
        <v>592</v>
      </c>
      <c r="Q546" s="130"/>
      <c r="R546" s="130"/>
      <c r="S546" s="130"/>
    </row>
    <row r="547" spans="1:19" s="75" customFormat="1" ht="24.9">
      <c r="A547" s="188" t="s">
        <v>583</v>
      </c>
      <c r="B547" s="147" t="s">
        <v>593</v>
      </c>
      <c r="C547" s="144" t="s">
        <v>602</v>
      </c>
      <c r="D547" s="145" t="s">
        <v>603</v>
      </c>
      <c r="E547" s="97"/>
      <c r="F547" s="94"/>
      <c r="G547" s="94"/>
      <c r="H547" s="94"/>
      <c r="I547" s="94" t="b">
        <f>EXACT(C547,O547)</f>
        <v>1</v>
      </c>
      <c r="J547" s="94" t="b">
        <f>EXACT(D547,P547)</f>
        <v>1</v>
      </c>
      <c r="K547" s="94" t="s">
        <v>1568</v>
      </c>
      <c r="L547" s="94"/>
      <c r="M547" s="160" t="s">
        <v>583</v>
      </c>
      <c r="N547" s="160" t="s">
        <v>593</v>
      </c>
      <c r="O547" s="159" t="s">
        <v>602</v>
      </c>
      <c r="P547" s="189" t="s">
        <v>603</v>
      </c>
      <c r="Q547" s="130"/>
      <c r="R547" s="130"/>
      <c r="S547" s="130"/>
    </row>
    <row r="548" spans="1:19" s="75" customFormat="1" ht="24.9">
      <c r="A548" s="188" t="s">
        <v>583</v>
      </c>
      <c r="B548" s="147" t="s">
        <v>593</v>
      </c>
      <c r="C548" s="144" t="s">
        <v>604</v>
      </c>
      <c r="D548" s="145" t="s">
        <v>605</v>
      </c>
      <c r="E548" s="97"/>
      <c r="F548" s="94"/>
      <c r="G548" s="94"/>
      <c r="H548" s="94"/>
      <c r="I548" s="94" t="b">
        <f>EXACT(C548,O548)</f>
        <v>1</v>
      </c>
      <c r="J548" s="94" t="b">
        <f>EXACT(D548,P548)</f>
        <v>1</v>
      </c>
      <c r="K548" s="94" t="s">
        <v>1568</v>
      </c>
      <c r="L548" s="94"/>
      <c r="M548" s="160" t="s">
        <v>583</v>
      </c>
      <c r="N548" s="160" t="s">
        <v>593</v>
      </c>
      <c r="O548" s="159" t="s">
        <v>604</v>
      </c>
      <c r="P548" s="189" t="s">
        <v>605</v>
      </c>
      <c r="Q548" s="130"/>
      <c r="R548" s="130"/>
      <c r="S548" s="130"/>
    </row>
    <row r="549" spans="1:19" s="75" customFormat="1" ht="24.9">
      <c r="A549" s="188" t="s">
        <v>583</v>
      </c>
      <c r="B549" s="147" t="s">
        <v>593</v>
      </c>
      <c r="C549" s="144" t="s">
        <v>606</v>
      </c>
      <c r="D549" s="145" t="s">
        <v>607</v>
      </c>
      <c r="E549" s="97"/>
      <c r="F549" s="94"/>
      <c r="G549" s="94"/>
      <c r="H549" s="94"/>
      <c r="I549" s="94" t="b">
        <f>EXACT(C549,O549)</f>
        <v>1</v>
      </c>
      <c r="J549" s="94" t="b">
        <f>EXACT(D549,P549)</f>
        <v>1</v>
      </c>
      <c r="K549" s="94" t="s">
        <v>1568</v>
      </c>
      <c r="L549" s="94"/>
      <c r="M549" s="160" t="s">
        <v>583</v>
      </c>
      <c r="N549" s="160" t="s">
        <v>593</v>
      </c>
      <c r="O549" s="159" t="s">
        <v>606</v>
      </c>
      <c r="P549" s="189" t="s">
        <v>607</v>
      </c>
      <c r="Q549" s="130"/>
      <c r="R549" s="130"/>
      <c r="S549" s="130"/>
    </row>
    <row r="550" spans="1:19" s="75" customFormat="1" ht="62.15">
      <c r="A550" s="188" t="s">
        <v>583</v>
      </c>
      <c r="B550" s="147" t="s">
        <v>593</v>
      </c>
      <c r="C550" s="144" t="s">
        <v>608</v>
      </c>
      <c r="D550" s="145" t="s">
        <v>609</v>
      </c>
      <c r="E550" s="97"/>
      <c r="F550" s="94"/>
      <c r="G550" s="94"/>
      <c r="H550" s="94"/>
      <c r="I550" s="94" t="b">
        <f>EXACT(C550,O550)</f>
        <v>1</v>
      </c>
      <c r="J550" s="94" t="b">
        <f>EXACT(D550,P550)</f>
        <v>1</v>
      </c>
      <c r="K550" s="94" t="s">
        <v>1568</v>
      </c>
      <c r="L550" s="94"/>
      <c r="M550" s="160" t="s">
        <v>583</v>
      </c>
      <c r="N550" s="160" t="s">
        <v>593</v>
      </c>
      <c r="O550" s="159" t="s">
        <v>608</v>
      </c>
      <c r="P550" s="189" t="s">
        <v>609</v>
      </c>
      <c r="Q550" s="130"/>
      <c r="R550" s="130"/>
      <c r="S550" s="130"/>
    </row>
    <row r="551" spans="1:19" s="75" customFormat="1" ht="24.9">
      <c r="A551" s="188" t="s">
        <v>583</v>
      </c>
      <c r="B551" s="147" t="s">
        <v>593</v>
      </c>
      <c r="C551" s="144" t="s">
        <v>610</v>
      </c>
      <c r="D551" s="145" t="s">
        <v>611</v>
      </c>
      <c r="E551" s="97"/>
      <c r="F551" s="94"/>
      <c r="G551" s="94"/>
      <c r="H551" s="94"/>
      <c r="I551" s="94" t="b">
        <f>EXACT(C551,O551)</f>
        <v>1</v>
      </c>
      <c r="J551" s="94" t="b">
        <f>EXACT(D551,P551)</f>
        <v>1</v>
      </c>
      <c r="K551" s="94" t="s">
        <v>1568</v>
      </c>
      <c r="L551" s="94"/>
      <c r="M551" s="160" t="s">
        <v>583</v>
      </c>
      <c r="N551" s="160" t="s">
        <v>593</v>
      </c>
      <c r="O551" s="159" t="s">
        <v>610</v>
      </c>
      <c r="P551" s="189" t="s">
        <v>611</v>
      </c>
      <c r="Q551" s="130"/>
      <c r="R551" s="130"/>
      <c r="S551" s="130"/>
    </row>
    <row r="552" spans="1:19" s="75" customFormat="1" ht="24.9">
      <c r="A552" s="188" t="s">
        <v>583</v>
      </c>
      <c r="B552" s="147" t="s">
        <v>593</v>
      </c>
      <c r="C552" s="144" t="s">
        <v>612</v>
      </c>
      <c r="D552" s="145" t="s">
        <v>613</v>
      </c>
      <c r="E552" s="97"/>
      <c r="F552" s="94"/>
      <c r="G552" s="94"/>
      <c r="H552" s="94"/>
      <c r="I552" s="94" t="b">
        <f>EXACT(C552,O552)</f>
        <v>1</v>
      </c>
      <c r="J552" s="94" t="b">
        <f>EXACT(D552,P552)</f>
        <v>1</v>
      </c>
      <c r="K552" s="94" t="s">
        <v>1568</v>
      </c>
      <c r="L552" s="94"/>
      <c r="M552" s="160" t="s">
        <v>583</v>
      </c>
      <c r="N552" s="160" t="s">
        <v>593</v>
      </c>
      <c r="O552" s="159" t="s">
        <v>612</v>
      </c>
      <c r="P552" s="189" t="s">
        <v>613</v>
      </c>
      <c r="Q552" s="130"/>
      <c r="R552" s="130"/>
      <c r="S552" s="130"/>
    </row>
    <row r="553" spans="1:19" s="75" customFormat="1" ht="24.9">
      <c r="A553" s="188" t="s">
        <v>583</v>
      </c>
      <c r="B553" s="147" t="s">
        <v>593</v>
      </c>
      <c r="C553" s="144" t="s">
        <v>614</v>
      </c>
      <c r="D553" s="145" t="s">
        <v>615</v>
      </c>
      <c r="E553" s="97"/>
      <c r="F553" s="94"/>
      <c r="G553" s="94"/>
      <c r="H553" s="94"/>
      <c r="I553" s="94" t="b">
        <f>EXACT(C553,O553)</f>
        <v>1</v>
      </c>
      <c r="J553" s="94" t="b">
        <f>EXACT(D553,P553)</f>
        <v>1</v>
      </c>
      <c r="K553" s="94" t="s">
        <v>1568</v>
      </c>
      <c r="L553" s="94"/>
      <c r="M553" s="160" t="s">
        <v>583</v>
      </c>
      <c r="N553" s="160" t="s">
        <v>593</v>
      </c>
      <c r="O553" s="159" t="s">
        <v>614</v>
      </c>
      <c r="P553" s="189" t="s">
        <v>615</v>
      </c>
      <c r="Q553" s="130"/>
      <c r="R553" s="130"/>
      <c r="S553" s="130"/>
    </row>
    <row r="554" spans="1:19" s="75" customFormat="1" ht="62.15">
      <c r="A554" s="188" t="s">
        <v>583</v>
      </c>
      <c r="B554" s="147" t="s">
        <v>593</v>
      </c>
      <c r="C554" s="144" t="s">
        <v>616</v>
      </c>
      <c r="D554" s="145" t="s">
        <v>617</v>
      </c>
      <c r="E554" s="97"/>
      <c r="F554" s="94"/>
      <c r="G554" s="94"/>
      <c r="H554" s="94"/>
      <c r="I554" s="94" t="b">
        <f>EXACT(C554,O554)</f>
        <v>1</v>
      </c>
      <c r="J554" s="94" t="b">
        <f>EXACT(D554,P554)</f>
        <v>1</v>
      </c>
      <c r="K554" s="94" t="s">
        <v>1568</v>
      </c>
      <c r="L554" s="94"/>
      <c r="M554" s="160" t="s">
        <v>583</v>
      </c>
      <c r="N554" s="160" t="s">
        <v>593</v>
      </c>
      <c r="O554" s="159" t="s">
        <v>616</v>
      </c>
      <c r="P554" s="189" t="s">
        <v>617</v>
      </c>
      <c r="Q554" s="130"/>
      <c r="R554" s="130"/>
      <c r="S554" s="130"/>
    </row>
    <row r="555" spans="1:19" s="75" customFormat="1" ht="24.9">
      <c r="A555" s="188" t="s">
        <v>583</v>
      </c>
      <c r="B555" s="147" t="s">
        <v>593</v>
      </c>
      <c r="C555" s="144" t="s">
        <v>618</v>
      </c>
      <c r="D555" s="145" t="s">
        <v>619</v>
      </c>
      <c r="E555" s="97"/>
      <c r="F555" s="94"/>
      <c r="G555" s="94"/>
      <c r="H555" s="94"/>
      <c r="I555" s="94" t="b">
        <f>EXACT(C555,O555)</f>
        <v>1</v>
      </c>
      <c r="J555" s="94" t="b">
        <f>EXACT(D555,P555)</f>
        <v>1</v>
      </c>
      <c r="K555" s="94" t="s">
        <v>1568</v>
      </c>
      <c r="L555" s="94"/>
      <c r="M555" s="160" t="s">
        <v>583</v>
      </c>
      <c r="N555" s="160" t="s">
        <v>593</v>
      </c>
      <c r="O555" s="159" t="s">
        <v>618</v>
      </c>
      <c r="P555" s="189" t="s">
        <v>619</v>
      </c>
      <c r="Q555" s="130"/>
      <c r="R555" s="130"/>
      <c r="S555" s="130"/>
    </row>
    <row r="556" spans="1:19" s="75" customFormat="1" ht="24.9">
      <c r="A556" s="188" t="s">
        <v>583</v>
      </c>
      <c r="B556" s="147" t="s">
        <v>593</v>
      </c>
      <c r="C556" s="144" t="s">
        <v>620</v>
      </c>
      <c r="D556" s="145" t="s">
        <v>621</v>
      </c>
      <c r="E556" s="97"/>
      <c r="F556" s="94"/>
      <c r="G556" s="94"/>
      <c r="H556" s="94"/>
      <c r="I556" s="94" t="b">
        <f>EXACT(C556,O556)</f>
        <v>1</v>
      </c>
      <c r="J556" s="94" t="b">
        <f>EXACT(D556,P556)</f>
        <v>1</v>
      </c>
      <c r="K556" s="94" t="s">
        <v>1568</v>
      </c>
      <c r="L556" s="94"/>
      <c r="M556" s="160" t="s">
        <v>583</v>
      </c>
      <c r="N556" s="160" t="s">
        <v>593</v>
      </c>
      <c r="O556" s="159" t="s">
        <v>620</v>
      </c>
      <c r="P556" s="189" t="s">
        <v>621</v>
      </c>
      <c r="Q556" s="130"/>
      <c r="R556" s="130"/>
      <c r="S556" s="130"/>
    </row>
    <row r="557" spans="1:19" s="75" customFormat="1" ht="24.9">
      <c r="A557" s="188" t="s">
        <v>583</v>
      </c>
      <c r="B557" s="147" t="s">
        <v>593</v>
      </c>
      <c r="C557" s="144" t="s">
        <v>622</v>
      </c>
      <c r="D557" s="145" t="s">
        <v>623</v>
      </c>
      <c r="E557" s="97"/>
      <c r="F557" s="94"/>
      <c r="G557" s="94"/>
      <c r="H557" s="94"/>
      <c r="I557" s="94" t="b">
        <f>EXACT(C557,O557)</f>
        <v>1</v>
      </c>
      <c r="J557" s="94" t="b">
        <f>EXACT(D557,P557)</f>
        <v>1</v>
      </c>
      <c r="K557" s="94" t="s">
        <v>1568</v>
      </c>
      <c r="L557" s="94"/>
      <c r="M557" s="160" t="s">
        <v>583</v>
      </c>
      <c r="N557" s="160" t="s">
        <v>593</v>
      </c>
      <c r="O557" s="159" t="s">
        <v>622</v>
      </c>
      <c r="P557" s="189" t="s">
        <v>623</v>
      </c>
      <c r="Q557" s="130"/>
      <c r="R557" s="130"/>
      <c r="S557" s="130"/>
    </row>
    <row r="558" spans="1:19" s="75" customFormat="1" ht="24.9">
      <c r="A558" s="188" t="s">
        <v>583</v>
      </c>
      <c r="B558" s="147" t="s">
        <v>593</v>
      </c>
      <c r="C558" s="144" t="s">
        <v>624</v>
      </c>
      <c r="D558" s="145" t="s">
        <v>625</v>
      </c>
      <c r="E558" s="97"/>
      <c r="F558" s="94"/>
      <c r="G558" s="94"/>
      <c r="H558" s="94"/>
      <c r="I558" s="94" t="b">
        <f>EXACT(C558,O558)</f>
        <v>1</v>
      </c>
      <c r="J558" s="94" t="b">
        <f>EXACT(D558,P558)</f>
        <v>1</v>
      </c>
      <c r="K558" s="94" t="s">
        <v>1568</v>
      </c>
      <c r="L558" s="94"/>
      <c r="M558" s="160" t="s">
        <v>583</v>
      </c>
      <c r="N558" s="160" t="s">
        <v>593</v>
      </c>
      <c r="O558" s="159" t="s">
        <v>624</v>
      </c>
      <c r="P558" s="189" t="s">
        <v>625</v>
      </c>
      <c r="Q558" s="130"/>
      <c r="R558" s="130"/>
      <c r="S558" s="130"/>
    </row>
    <row r="559" spans="1:19" s="75" customFormat="1" ht="24.9">
      <c r="A559" s="188" t="s">
        <v>583</v>
      </c>
      <c r="B559" s="147" t="s">
        <v>593</v>
      </c>
      <c r="C559" s="144" t="s">
        <v>626</v>
      </c>
      <c r="D559" s="145" t="s">
        <v>627</v>
      </c>
      <c r="E559" s="97"/>
      <c r="F559" s="94"/>
      <c r="G559" s="94"/>
      <c r="H559" s="94"/>
      <c r="I559" s="94" t="b">
        <f>EXACT(C559,O559)</f>
        <v>1</v>
      </c>
      <c r="J559" s="94" t="b">
        <f>EXACT(D559,P559)</f>
        <v>1</v>
      </c>
      <c r="K559" s="94" t="s">
        <v>1568</v>
      </c>
      <c r="L559" s="94"/>
      <c r="M559" s="160" t="s">
        <v>583</v>
      </c>
      <c r="N559" s="160" t="s">
        <v>593</v>
      </c>
      <c r="O559" s="159" t="s">
        <v>626</v>
      </c>
      <c r="P559" s="189" t="s">
        <v>627</v>
      </c>
      <c r="Q559" s="130"/>
      <c r="R559" s="130"/>
      <c r="S559" s="130"/>
    </row>
    <row r="560" spans="1:19" s="75" customFormat="1" ht="24.9">
      <c r="A560" s="188" t="s">
        <v>583</v>
      </c>
      <c r="B560" s="147" t="s">
        <v>306</v>
      </c>
      <c r="C560" s="144" t="s">
        <v>584</v>
      </c>
      <c r="D560" s="145" t="s">
        <v>585</v>
      </c>
      <c r="E560" s="97"/>
      <c r="F560" s="94"/>
      <c r="G560" s="94"/>
      <c r="H560" s="94"/>
      <c r="I560" s="94" t="b">
        <f>EXACT(C560,O560)</f>
        <v>1</v>
      </c>
      <c r="J560" s="94" t="b">
        <f>EXACT(D560,P560)</f>
        <v>1</v>
      </c>
      <c r="K560" s="94" t="s">
        <v>1568</v>
      </c>
      <c r="L560" s="94"/>
      <c r="M560" s="160" t="s">
        <v>583</v>
      </c>
      <c r="N560" s="160" t="s">
        <v>306</v>
      </c>
      <c r="O560" s="159" t="s">
        <v>584</v>
      </c>
      <c r="P560" s="189" t="s">
        <v>585</v>
      </c>
      <c r="Q560" s="130"/>
      <c r="R560" s="130"/>
      <c r="S560" s="130"/>
    </row>
    <row r="561" spans="1:19" s="75" customFormat="1" ht="24.9">
      <c r="A561" s="188" t="s">
        <v>583</v>
      </c>
      <c r="B561" s="147" t="s">
        <v>306</v>
      </c>
      <c r="C561" s="144" t="s">
        <v>586</v>
      </c>
      <c r="D561" s="145" t="s">
        <v>587</v>
      </c>
      <c r="E561" s="97"/>
      <c r="F561" s="94"/>
      <c r="G561" s="94"/>
      <c r="H561" s="94"/>
      <c r="I561" s="94" t="b">
        <f>EXACT(C561,O561)</f>
        <v>1</v>
      </c>
      <c r="J561" s="94" t="b">
        <f>EXACT(D561,P561)</f>
        <v>1</v>
      </c>
      <c r="K561" s="94" t="s">
        <v>1568</v>
      </c>
      <c r="L561" s="94"/>
      <c r="M561" s="160" t="s">
        <v>583</v>
      </c>
      <c r="N561" s="160" t="s">
        <v>306</v>
      </c>
      <c r="O561" s="159" t="s">
        <v>586</v>
      </c>
      <c r="P561" s="189" t="s">
        <v>587</v>
      </c>
      <c r="Q561" s="130"/>
      <c r="R561" s="130"/>
      <c r="S561" s="130"/>
    </row>
    <row r="562" spans="1:19" s="75" customFormat="1" ht="24.9">
      <c r="A562" s="198" t="s">
        <v>658</v>
      </c>
      <c r="B562" s="144" t="s">
        <v>381</v>
      </c>
      <c r="C562" s="144" t="s">
        <v>1335</v>
      </c>
      <c r="D562" s="145" t="s">
        <v>1336</v>
      </c>
      <c r="E562" s="97"/>
      <c r="F562" s="94"/>
      <c r="G562" s="94"/>
      <c r="H562" s="94"/>
      <c r="I562" s="94" t="b">
        <f>EXACT(C562,O562)</f>
        <v>1</v>
      </c>
      <c r="J562" s="94" t="b">
        <f>EXACT(D562,P562)</f>
        <v>1</v>
      </c>
      <c r="K562" s="94" t="s">
        <v>1568</v>
      </c>
      <c r="L562" s="94"/>
      <c r="M562" s="159" t="s">
        <v>658</v>
      </c>
      <c r="N562" s="159" t="s">
        <v>381</v>
      </c>
      <c r="O562" s="159" t="s">
        <v>1335</v>
      </c>
      <c r="P562" s="189" t="s">
        <v>1336</v>
      </c>
      <c r="Q562" s="130"/>
      <c r="R562" s="130"/>
      <c r="S562" s="130"/>
    </row>
    <row r="563" spans="1:19" s="75" customFormat="1" ht="14.6">
      <c r="A563" s="196" t="s">
        <v>658</v>
      </c>
      <c r="B563" s="153" t="s">
        <v>318</v>
      </c>
      <c r="C563" s="144" t="s">
        <v>1283</v>
      </c>
      <c r="D563" s="154" t="s">
        <v>1284</v>
      </c>
      <c r="E563" s="97"/>
      <c r="F563" s="94"/>
      <c r="G563" s="94"/>
      <c r="H563" s="94"/>
      <c r="I563" s="94" t="b">
        <f>EXACT(C563,O563)</f>
        <v>1</v>
      </c>
      <c r="J563" s="94" t="b">
        <f>EXACT(D563,P563)</f>
        <v>1</v>
      </c>
      <c r="K563" s="94" t="s">
        <v>1568</v>
      </c>
      <c r="L563" s="94"/>
      <c r="M563" s="169" t="s">
        <v>658</v>
      </c>
      <c r="N563" s="169" t="s">
        <v>318</v>
      </c>
      <c r="O563" s="159" t="s">
        <v>1283</v>
      </c>
      <c r="P563" s="203" t="s">
        <v>1284</v>
      </c>
      <c r="Q563" s="130"/>
      <c r="R563" s="130"/>
      <c r="S563" s="130"/>
    </row>
    <row r="564" spans="1:19" s="75" customFormat="1" ht="14.6">
      <c r="A564" s="196" t="s">
        <v>658</v>
      </c>
      <c r="B564" s="153" t="s">
        <v>318</v>
      </c>
      <c r="C564" s="144" t="s">
        <v>1285</v>
      </c>
      <c r="D564" s="154" t="s">
        <v>1286</v>
      </c>
      <c r="E564" s="97"/>
      <c r="F564" s="94"/>
      <c r="G564" s="94"/>
      <c r="H564" s="94"/>
      <c r="I564" s="94" t="b">
        <f>EXACT(C564,O564)</f>
        <v>1</v>
      </c>
      <c r="J564" s="94" t="b">
        <f>EXACT(D564,P564)</f>
        <v>1</v>
      </c>
      <c r="K564" s="94" t="s">
        <v>1568</v>
      </c>
      <c r="L564" s="94"/>
      <c r="M564" s="169" t="s">
        <v>658</v>
      </c>
      <c r="N564" s="169" t="s">
        <v>318</v>
      </c>
      <c r="O564" s="159" t="s">
        <v>1285</v>
      </c>
      <c r="P564" s="203" t="s">
        <v>1286</v>
      </c>
      <c r="Q564" s="130"/>
      <c r="R564" s="130"/>
      <c r="S564" s="130"/>
    </row>
    <row r="565" spans="1:19" s="75" customFormat="1" ht="14.6">
      <c r="A565" s="196" t="s">
        <v>658</v>
      </c>
      <c r="B565" s="153" t="s">
        <v>318</v>
      </c>
      <c r="C565" s="144" t="s">
        <v>1287</v>
      </c>
      <c r="D565" s="154" t="s">
        <v>1288</v>
      </c>
      <c r="E565" s="97"/>
      <c r="F565" s="94"/>
      <c r="G565" s="94"/>
      <c r="H565" s="94"/>
      <c r="I565" s="94" t="b">
        <f>EXACT(C565,O565)</f>
        <v>1</v>
      </c>
      <c r="J565" s="94" t="b">
        <f>EXACT(D565,P565)</f>
        <v>1</v>
      </c>
      <c r="K565" s="94" t="s">
        <v>1568</v>
      </c>
      <c r="L565" s="94"/>
      <c r="M565" s="169" t="s">
        <v>658</v>
      </c>
      <c r="N565" s="169" t="s">
        <v>318</v>
      </c>
      <c r="O565" s="159" t="s">
        <v>1287</v>
      </c>
      <c r="P565" s="203" t="s">
        <v>1288</v>
      </c>
      <c r="Q565" s="130"/>
      <c r="R565" s="130"/>
      <c r="S565" s="130"/>
    </row>
    <row r="566" spans="1:19" s="75" customFormat="1" ht="14.6">
      <c r="A566" s="196" t="s">
        <v>658</v>
      </c>
      <c r="B566" s="153" t="s">
        <v>318</v>
      </c>
      <c r="C566" s="144" t="s">
        <v>1289</v>
      </c>
      <c r="D566" s="154" t="s">
        <v>1290</v>
      </c>
      <c r="E566" s="97"/>
      <c r="F566" s="94"/>
      <c r="G566" s="94"/>
      <c r="H566" s="94"/>
      <c r="I566" s="94" t="b">
        <f>EXACT(C566,O566)</f>
        <v>1</v>
      </c>
      <c r="J566" s="94" t="b">
        <f>EXACT(D566,P566)</f>
        <v>1</v>
      </c>
      <c r="K566" s="94" t="s">
        <v>1568</v>
      </c>
      <c r="L566" s="94"/>
      <c r="M566" s="169" t="s">
        <v>658</v>
      </c>
      <c r="N566" s="169" t="s">
        <v>318</v>
      </c>
      <c r="O566" s="159" t="s">
        <v>1289</v>
      </c>
      <c r="P566" s="203" t="s">
        <v>1290</v>
      </c>
      <c r="Q566" s="130"/>
      <c r="R566" s="130"/>
      <c r="S566" s="130"/>
    </row>
    <row r="567" spans="1:19" s="75" customFormat="1" ht="14.6">
      <c r="A567" s="196" t="s">
        <v>658</v>
      </c>
      <c r="B567" s="153" t="s">
        <v>318</v>
      </c>
      <c r="C567" s="144" t="s">
        <v>1291</v>
      </c>
      <c r="D567" s="154" t="s">
        <v>1292</v>
      </c>
      <c r="E567" s="97"/>
      <c r="F567" s="94"/>
      <c r="G567" s="94"/>
      <c r="H567" s="94"/>
      <c r="I567" s="94" t="b">
        <f>EXACT(C567,O567)</f>
        <v>1</v>
      </c>
      <c r="J567" s="94" t="b">
        <f>EXACT(D567,P567)</f>
        <v>1</v>
      </c>
      <c r="K567" s="94" t="s">
        <v>1568</v>
      </c>
      <c r="L567" s="94"/>
      <c r="M567" s="169" t="s">
        <v>658</v>
      </c>
      <c r="N567" s="169" t="s">
        <v>318</v>
      </c>
      <c r="O567" s="159" t="s">
        <v>1291</v>
      </c>
      <c r="P567" s="203" t="s">
        <v>1292</v>
      </c>
      <c r="Q567" s="130"/>
      <c r="R567" s="130"/>
      <c r="S567" s="130"/>
    </row>
    <row r="568" spans="1:19" s="75" customFormat="1" ht="14.6">
      <c r="A568" s="196" t="s">
        <v>658</v>
      </c>
      <c r="B568" s="153" t="s">
        <v>318</v>
      </c>
      <c r="C568" s="144" t="s">
        <v>1293</v>
      </c>
      <c r="D568" s="154" t="s">
        <v>1294</v>
      </c>
      <c r="E568" s="97"/>
      <c r="F568" s="94"/>
      <c r="G568" s="94"/>
      <c r="H568" s="94"/>
      <c r="I568" s="94" t="b">
        <f>EXACT(C568,O568)</f>
        <v>1</v>
      </c>
      <c r="J568" s="94" t="b">
        <f>EXACT(D568,P568)</f>
        <v>1</v>
      </c>
      <c r="K568" s="94" t="s">
        <v>1568</v>
      </c>
      <c r="L568" s="94"/>
      <c r="M568" s="169" t="s">
        <v>658</v>
      </c>
      <c r="N568" s="169" t="s">
        <v>318</v>
      </c>
      <c r="O568" s="159" t="s">
        <v>1293</v>
      </c>
      <c r="P568" s="203" t="s">
        <v>1294</v>
      </c>
      <c r="Q568" s="130"/>
      <c r="R568" s="130"/>
      <c r="S568" s="130"/>
    </row>
    <row r="569" spans="1:19" s="75" customFormat="1" ht="136.75">
      <c r="A569" s="198" t="s">
        <v>658</v>
      </c>
      <c r="B569" s="144" t="s">
        <v>381</v>
      </c>
      <c r="C569" s="144" t="s">
        <v>1337</v>
      </c>
      <c r="D569" s="145" t="s">
        <v>1338</v>
      </c>
      <c r="E569" s="97"/>
      <c r="F569" s="94"/>
      <c r="G569" s="94"/>
      <c r="H569" s="94"/>
      <c r="I569" s="94" t="b">
        <f>EXACT(C569,O569)</f>
        <v>1</v>
      </c>
      <c r="J569" s="94" t="b">
        <f>EXACT(D569,P569)</f>
        <v>1</v>
      </c>
      <c r="K569" s="94" t="s">
        <v>1568</v>
      </c>
      <c r="L569" s="94"/>
      <c r="M569" s="159" t="s">
        <v>658</v>
      </c>
      <c r="N569" s="159" t="s">
        <v>381</v>
      </c>
      <c r="O569" s="159" t="s">
        <v>1337</v>
      </c>
      <c r="P569" s="189" t="s">
        <v>1338</v>
      </c>
      <c r="Q569" s="130"/>
      <c r="R569" s="130"/>
      <c r="S569" s="130"/>
    </row>
    <row r="570" spans="1:19" s="75" customFormat="1" ht="136.75">
      <c r="A570" s="198" t="s">
        <v>658</v>
      </c>
      <c r="B570" s="144" t="s">
        <v>381</v>
      </c>
      <c r="C570" s="144" t="s">
        <v>1339</v>
      </c>
      <c r="D570" s="145" t="s">
        <v>1340</v>
      </c>
      <c r="E570" s="97"/>
      <c r="F570" s="94"/>
      <c r="G570" s="94"/>
      <c r="H570" s="94"/>
      <c r="I570" s="94" t="b">
        <f>EXACT(C570,O570)</f>
        <v>1</v>
      </c>
      <c r="J570" s="94" t="b">
        <f>EXACT(D570,P570)</f>
        <v>1</v>
      </c>
      <c r="K570" s="94" t="s">
        <v>1568</v>
      </c>
      <c r="L570" s="94"/>
      <c r="M570" s="159" t="s">
        <v>658</v>
      </c>
      <c r="N570" s="159" t="s">
        <v>381</v>
      </c>
      <c r="O570" s="159" t="s">
        <v>1339</v>
      </c>
      <c r="P570" s="189" t="s">
        <v>1340</v>
      </c>
      <c r="Q570" s="130"/>
      <c r="R570" s="130"/>
      <c r="S570" s="130"/>
    </row>
    <row r="571" spans="1:19" s="75" customFormat="1" ht="24.9">
      <c r="A571" s="188" t="s">
        <v>658</v>
      </c>
      <c r="B571" s="144" t="s">
        <v>381</v>
      </c>
      <c r="C571" s="144" t="s">
        <v>1341</v>
      </c>
      <c r="D571" s="145" t="s">
        <v>1342</v>
      </c>
      <c r="E571" s="41"/>
      <c r="F571" s="93"/>
      <c r="G571" s="41"/>
      <c r="H571" s="76"/>
      <c r="I571" s="94" t="b">
        <f>EXACT(C571,O571)</f>
        <v>1</v>
      </c>
      <c r="J571" s="94" t="b">
        <f>EXACT(D571,P571)</f>
        <v>1</v>
      </c>
      <c r="K571" s="94" t="s">
        <v>1568</v>
      </c>
      <c r="L571" s="94"/>
      <c r="M571" s="160" t="s">
        <v>658</v>
      </c>
      <c r="N571" s="159" t="s">
        <v>381</v>
      </c>
      <c r="O571" s="159" t="s">
        <v>1341</v>
      </c>
      <c r="P571" s="189" t="s">
        <v>1342</v>
      </c>
      <c r="Q571" s="130"/>
      <c r="R571" s="130"/>
      <c r="S571" s="130"/>
    </row>
    <row r="572" spans="1:19" s="75" customFormat="1" ht="24.9">
      <c r="A572" s="188" t="s">
        <v>658</v>
      </c>
      <c r="B572" s="144" t="s">
        <v>381</v>
      </c>
      <c r="C572" s="144" t="s">
        <v>1343</v>
      </c>
      <c r="D572" s="145" t="s">
        <v>1344</v>
      </c>
      <c r="E572" s="41"/>
      <c r="F572" s="93"/>
      <c r="G572" s="41"/>
      <c r="H572" s="76"/>
      <c r="I572" s="94" t="b">
        <f>EXACT(C572,O572)</f>
        <v>1</v>
      </c>
      <c r="J572" s="94" t="b">
        <f>EXACT(D572,P572)</f>
        <v>1</v>
      </c>
      <c r="K572" s="94" t="s">
        <v>1568</v>
      </c>
      <c r="L572" s="94"/>
      <c r="M572" s="160" t="s">
        <v>658</v>
      </c>
      <c r="N572" s="159" t="s">
        <v>381</v>
      </c>
      <c r="O572" s="159" t="s">
        <v>1343</v>
      </c>
      <c r="P572" s="189" t="s">
        <v>1344</v>
      </c>
      <c r="Q572" s="130"/>
      <c r="R572" s="130"/>
      <c r="S572" s="130"/>
    </row>
    <row r="573" spans="1:19" s="75" customFormat="1" ht="14.6">
      <c r="A573" s="204" t="s">
        <v>658</v>
      </c>
      <c r="B573" s="144" t="s">
        <v>381</v>
      </c>
      <c r="C573" s="144" t="s">
        <v>1345</v>
      </c>
      <c r="D573" s="145" t="s">
        <v>1346</v>
      </c>
      <c r="E573" s="41"/>
      <c r="F573" s="93"/>
      <c r="G573" s="41"/>
      <c r="H573" s="76"/>
      <c r="I573" s="94" t="b">
        <f>EXACT(C573,O573)</f>
        <v>1</v>
      </c>
      <c r="J573" s="94" t="b">
        <f>EXACT(D573,P573)</f>
        <v>1</v>
      </c>
      <c r="K573" s="94" t="s">
        <v>1568</v>
      </c>
      <c r="L573" s="94"/>
      <c r="M573" s="172" t="s">
        <v>658</v>
      </c>
      <c r="N573" s="159" t="s">
        <v>381</v>
      </c>
      <c r="O573" s="159" t="s">
        <v>1345</v>
      </c>
      <c r="P573" s="189" t="s">
        <v>1346</v>
      </c>
      <c r="Q573" s="130"/>
      <c r="R573" s="130"/>
      <c r="S573" s="130"/>
    </row>
    <row r="574" spans="1:19" s="75" customFormat="1" ht="24.9">
      <c r="A574" s="204" t="s">
        <v>658</v>
      </c>
      <c r="B574" s="144" t="s">
        <v>381</v>
      </c>
      <c r="C574" s="144" t="s">
        <v>1347</v>
      </c>
      <c r="D574" s="145" t="s">
        <v>1348</v>
      </c>
      <c r="E574" s="41"/>
      <c r="F574" s="93"/>
      <c r="G574" s="41"/>
      <c r="H574" s="76"/>
      <c r="I574" s="94" t="b">
        <f>EXACT(C574,O574)</f>
        <v>1</v>
      </c>
      <c r="J574" s="94" t="b">
        <f>EXACT(D574,P574)</f>
        <v>1</v>
      </c>
      <c r="K574" s="94" t="s">
        <v>1568</v>
      </c>
      <c r="L574" s="94"/>
      <c r="M574" s="172" t="s">
        <v>658</v>
      </c>
      <c r="N574" s="159" t="s">
        <v>381</v>
      </c>
      <c r="O574" s="159" t="s">
        <v>1347</v>
      </c>
      <c r="P574" s="189" t="s">
        <v>1348</v>
      </c>
      <c r="Q574" s="130"/>
      <c r="R574" s="130"/>
      <c r="S574" s="130"/>
    </row>
    <row r="575" spans="1:19" s="75" customFormat="1" ht="136.75">
      <c r="A575" s="198" t="s">
        <v>658</v>
      </c>
      <c r="B575" s="144" t="s">
        <v>381</v>
      </c>
      <c r="C575" s="144" t="s">
        <v>1349</v>
      </c>
      <c r="D575" s="145" t="s">
        <v>1350</v>
      </c>
      <c r="E575" s="97"/>
      <c r="F575" s="94"/>
      <c r="G575" s="94"/>
      <c r="H575" s="94"/>
      <c r="I575" s="94" t="b">
        <f>EXACT(C575,O575)</f>
        <v>1</v>
      </c>
      <c r="J575" s="94" t="b">
        <f>EXACT(D575,P575)</f>
        <v>1</v>
      </c>
      <c r="K575" s="94" t="s">
        <v>1568</v>
      </c>
      <c r="L575" s="94"/>
      <c r="M575" s="159" t="s">
        <v>658</v>
      </c>
      <c r="N575" s="159" t="s">
        <v>381</v>
      </c>
      <c r="O575" s="159" t="s">
        <v>1349</v>
      </c>
      <c r="P575" s="189" t="s">
        <v>1350</v>
      </c>
      <c r="Q575" s="130"/>
      <c r="R575" s="130"/>
      <c r="S575" s="130"/>
    </row>
    <row r="576" spans="1:19" s="75" customFormat="1" ht="136.75">
      <c r="A576" s="198" t="s">
        <v>658</v>
      </c>
      <c r="B576" s="144" t="s">
        <v>381</v>
      </c>
      <c r="C576" s="144" t="s">
        <v>1351</v>
      </c>
      <c r="D576" s="145" t="s">
        <v>1352</v>
      </c>
      <c r="E576" s="97"/>
      <c r="F576" s="94"/>
      <c r="G576" s="94"/>
      <c r="H576" s="94"/>
      <c r="I576" s="94" t="b">
        <f>EXACT(C576,O576)</f>
        <v>1</v>
      </c>
      <c r="J576" s="94" t="b">
        <f>EXACT(D576,P576)</f>
        <v>1</v>
      </c>
      <c r="K576" s="94" t="s">
        <v>1568</v>
      </c>
      <c r="L576" s="94"/>
      <c r="M576" s="159" t="s">
        <v>658</v>
      </c>
      <c r="N576" s="159" t="s">
        <v>381</v>
      </c>
      <c r="O576" s="159" t="s">
        <v>1351</v>
      </c>
      <c r="P576" s="189" t="s">
        <v>1352</v>
      </c>
      <c r="Q576" s="130"/>
      <c r="R576" s="130"/>
      <c r="S576" s="130"/>
    </row>
    <row r="577" spans="1:19" s="75" customFormat="1" ht="14.6">
      <c r="A577" s="204" t="s">
        <v>658</v>
      </c>
      <c r="B577" s="153" t="s">
        <v>318</v>
      </c>
      <c r="C577" s="144" t="s">
        <v>1295</v>
      </c>
      <c r="D577" s="145" t="s">
        <v>1296</v>
      </c>
      <c r="E577" s="41"/>
      <c r="F577" s="93"/>
      <c r="G577" s="41"/>
      <c r="H577" s="76"/>
      <c r="I577" s="94" t="b">
        <f>EXACT(C577,O577)</f>
        <v>1</v>
      </c>
      <c r="J577" s="94" t="b">
        <f>EXACT(D577,P577)</f>
        <v>1</v>
      </c>
      <c r="K577" s="94" t="s">
        <v>1568</v>
      </c>
      <c r="L577" s="94"/>
      <c r="M577" s="172" t="s">
        <v>658</v>
      </c>
      <c r="N577" s="169" t="s">
        <v>318</v>
      </c>
      <c r="O577" s="159" t="s">
        <v>1295</v>
      </c>
      <c r="P577" s="189" t="s">
        <v>1296</v>
      </c>
      <c r="Q577" s="130"/>
      <c r="R577" s="130"/>
      <c r="S577" s="130"/>
    </row>
    <row r="578" spans="1:19" s="75" customFormat="1" ht="14.6">
      <c r="A578" s="204" t="s">
        <v>658</v>
      </c>
      <c r="B578" s="153" t="s">
        <v>318</v>
      </c>
      <c r="C578" s="144" t="s">
        <v>1297</v>
      </c>
      <c r="D578" s="145" t="s">
        <v>1298</v>
      </c>
      <c r="E578" s="41"/>
      <c r="F578" s="93"/>
      <c r="G578" s="41"/>
      <c r="H578" s="76"/>
      <c r="I578" s="94" t="b">
        <f>EXACT(C578,O578)</f>
        <v>1</v>
      </c>
      <c r="J578" s="94" t="b">
        <f>EXACT(D578,P578)</f>
        <v>1</v>
      </c>
      <c r="K578" s="94" t="s">
        <v>1568</v>
      </c>
      <c r="L578" s="94"/>
      <c r="M578" s="172" t="s">
        <v>658</v>
      </c>
      <c r="N578" s="169" t="s">
        <v>318</v>
      </c>
      <c r="O578" s="159" t="s">
        <v>1297</v>
      </c>
      <c r="P578" s="189" t="s">
        <v>1298</v>
      </c>
      <c r="Q578" s="130"/>
      <c r="R578" s="130"/>
      <c r="S578" s="130"/>
    </row>
    <row r="579" spans="1:19" s="75" customFormat="1" ht="14.6">
      <c r="A579" s="204" t="s">
        <v>658</v>
      </c>
      <c r="B579" s="153" t="s">
        <v>318</v>
      </c>
      <c r="C579" s="144" t="s">
        <v>1299</v>
      </c>
      <c r="D579" s="145" t="s">
        <v>1300</v>
      </c>
      <c r="E579" s="41"/>
      <c r="F579" s="93"/>
      <c r="G579" s="41"/>
      <c r="H579" s="76"/>
      <c r="I579" s="94" t="b">
        <f>EXACT(C579,O579)</f>
        <v>1</v>
      </c>
      <c r="J579" s="94" t="b">
        <f>EXACT(D579,P579)</f>
        <v>1</v>
      </c>
      <c r="K579" s="94" t="s">
        <v>1568</v>
      </c>
      <c r="L579" s="94"/>
      <c r="M579" s="172" t="s">
        <v>658</v>
      </c>
      <c r="N579" s="169" t="s">
        <v>318</v>
      </c>
      <c r="O579" s="159" t="s">
        <v>1299</v>
      </c>
      <c r="P579" s="189" t="s">
        <v>1300</v>
      </c>
      <c r="Q579" s="130"/>
      <c r="R579" s="130"/>
      <c r="S579" s="130"/>
    </row>
    <row r="580" spans="1:19" s="75" customFormat="1" ht="14.6">
      <c r="A580" s="204" t="s">
        <v>658</v>
      </c>
      <c r="B580" s="153" t="s">
        <v>318</v>
      </c>
      <c r="C580" s="144" t="s">
        <v>1301</v>
      </c>
      <c r="D580" s="145" t="s">
        <v>1302</v>
      </c>
      <c r="E580" s="41"/>
      <c r="F580" s="93"/>
      <c r="G580" s="41"/>
      <c r="H580" s="76"/>
      <c r="I580" s="94" t="b">
        <f>EXACT(C580,O580)</f>
        <v>1</v>
      </c>
      <c r="J580" s="94" t="b">
        <f>EXACT(D580,P580)</f>
        <v>1</v>
      </c>
      <c r="K580" s="94" t="s">
        <v>1568</v>
      </c>
      <c r="L580" s="94"/>
      <c r="M580" s="172" t="s">
        <v>658</v>
      </c>
      <c r="N580" s="169" t="s">
        <v>318</v>
      </c>
      <c r="O580" s="159" t="s">
        <v>1301</v>
      </c>
      <c r="P580" s="189" t="s">
        <v>1302</v>
      </c>
      <c r="Q580" s="130"/>
      <c r="R580" s="130"/>
      <c r="S580" s="130"/>
    </row>
    <row r="581" spans="1:19" s="75" customFormat="1" ht="211.3">
      <c r="A581" s="188" t="s">
        <v>658</v>
      </c>
      <c r="B581" s="153" t="s">
        <v>318</v>
      </c>
      <c r="C581" s="144" t="s">
        <v>1303</v>
      </c>
      <c r="D581" s="145" t="s">
        <v>1304</v>
      </c>
      <c r="E581" s="41"/>
      <c r="F581" s="93"/>
      <c r="G581" s="41"/>
      <c r="H581" s="76"/>
      <c r="I581" s="94" t="b">
        <f>EXACT(C581,O581)</f>
        <v>1</v>
      </c>
      <c r="J581" s="94" t="b">
        <f>EXACT(D581,P581)</f>
        <v>1</v>
      </c>
      <c r="K581" s="94" t="s">
        <v>1568</v>
      </c>
      <c r="L581" s="94"/>
      <c r="M581" s="160" t="s">
        <v>658</v>
      </c>
      <c r="N581" s="169" t="s">
        <v>318</v>
      </c>
      <c r="O581" s="159" t="s">
        <v>1303</v>
      </c>
      <c r="P581" s="189" t="s">
        <v>1304</v>
      </c>
      <c r="Q581" s="130"/>
      <c r="R581" s="130"/>
      <c r="S581" s="130"/>
    </row>
    <row r="582" spans="1:19" s="75" customFormat="1" ht="14.6">
      <c r="A582" s="204" t="s">
        <v>658</v>
      </c>
      <c r="B582" s="153" t="s">
        <v>318</v>
      </c>
      <c r="C582" s="144" t="s">
        <v>1305</v>
      </c>
      <c r="D582" s="145" t="s">
        <v>1306</v>
      </c>
      <c r="E582" s="41"/>
      <c r="F582" s="93"/>
      <c r="G582" s="41"/>
      <c r="H582" s="76"/>
      <c r="I582" s="94" t="b">
        <f>EXACT(C582,O582)</f>
        <v>1</v>
      </c>
      <c r="J582" s="94" t="b">
        <f>EXACT(D582,P582)</f>
        <v>1</v>
      </c>
      <c r="K582" s="94" t="s">
        <v>1568</v>
      </c>
      <c r="L582" s="94"/>
      <c r="M582" s="172" t="s">
        <v>658</v>
      </c>
      <c r="N582" s="169" t="s">
        <v>318</v>
      </c>
      <c r="O582" s="159" t="s">
        <v>1305</v>
      </c>
      <c r="P582" s="189" t="s">
        <v>1306</v>
      </c>
      <c r="Q582" s="130"/>
      <c r="R582" s="130"/>
      <c r="S582" s="130"/>
    </row>
    <row r="583" spans="1:19" s="75" customFormat="1" ht="49.75">
      <c r="A583" s="188" t="s">
        <v>658</v>
      </c>
      <c r="B583" s="153" t="s">
        <v>318</v>
      </c>
      <c r="C583" s="144" t="s">
        <v>1307</v>
      </c>
      <c r="D583" s="145" t="s">
        <v>1308</v>
      </c>
      <c r="E583" s="41"/>
      <c r="F583" s="93"/>
      <c r="G583" s="41"/>
      <c r="H583" s="76"/>
      <c r="I583" s="94" t="b">
        <f>EXACT(C583,O583)</f>
        <v>1</v>
      </c>
      <c r="J583" s="94" t="b">
        <f>EXACT(D583,P583)</f>
        <v>1</v>
      </c>
      <c r="K583" s="94" t="s">
        <v>1568</v>
      </c>
      <c r="L583" s="94"/>
      <c r="M583" s="160" t="s">
        <v>658</v>
      </c>
      <c r="N583" s="169" t="s">
        <v>318</v>
      </c>
      <c r="O583" s="159" t="s">
        <v>1307</v>
      </c>
      <c r="P583" s="189" t="s">
        <v>1308</v>
      </c>
      <c r="Q583" s="130"/>
      <c r="R583" s="130"/>
      <c r="S583" s="130"/>
    </row>
    <row r="584" spans="1:19" s="75" customFormat="1" ht="14.6">
      <c r="A584" s="204" t="s">
        <v>658</v>
      </c>
      <c r="B584" s="144" t="s">
        <v>381</v>
      </c>
      <c r="C584" s="144" t="s">
        <v>1353</v>
      </c>
      <c r="D584" s="145" t="s">
        <v>1354</v>
      </c>
      <c r="E584" s="41"/>
      <c r="F584" s="93"/>
      <c r="G584" s="41"/>
      <c r="H584" s="76"/>
      <c r="I584" s="94" t="b">
        <f>EXACT(C584,O584)</f>
        <v>1</v>
      </c>
      <c r="J584" s="94" t="b">
        <f>EXACT(D584,P584)</f>
        <v>1</v>
      </c>
      <c r="K584" s="94" t="s">
        <v>1568</v>
      </c>
      <c r="L584" s="94"/>
      <c r="M584" s="172" t="s">
        <v>658</v>
      </c>
      <c r="N584" s="159" t="s">
        <v>381</v>
      </c>
      <c r="O584" s="159" t="s">
        <v>1353</v>
      </c>
      <c r="P584" s="189" t="s">
        <v>1354</v>
      </c>
      <c r="Q584" s="130"/>
      <c r="R584" s="130"/>
      <c r="S584" s="130"/>
    </row>
    <row r="585" spans="1:19" s="75" customFormat="1" ht="14.6">
      <c r="A585" s="204" t="s">
        <v>658</v>
      </c>
      <c r="B585" s="153" t="s">
        <v>318</v>
      </c>
      <c r="C585" s="144" t="s">
        <v>1309</v>
      </c>
      <c r="D585" s="145" t="s">
        <v>1310</v>
      </c>
      <c r="E585" s="41"/>
      <c r="F585" s="93"/>
      <c r="G585" s="41"/>
      <c r="H585" s="76"/>
      <c r="I585" s="94" t="b">
        <f>EXACT(C585,O585)</f>
        <v>1</v>
      </c>
      <c r="J585" s="94" t="b">
        <f>EXACT(D585,P585)</f>
        <v>1</v>
      </c>
      <c r="K585" s="94" t="s">
        <v>1568</v>
      </c>
      <c r="L585" s="94"/>
      <c r="M585" s="172" t="s">
        <v>658</v>
      </c>
      <c r="N585" s="169" t="s">
        <v>318</v>
      </c>
      <c r="O585" s="159" t="s">
        <v>1309</v>
      </c>
      <c r="P585" s="189" t="s">
        <v>1310</v>
      </c>
      <c r="Q585" s="130"/>
      <c r="R585" s="130"/>
      <c r="S585" s="130"/>
    </row>
    <row r="586" spans="1:19" s="75" customFormat="1" ht="14.6">
      <c r="A586" s="204" t="s">
        <v>658</v>
      </c>
      <c r="B586" s="153" t="s">
        <v>318</v>
      </c>
      <c r="C586" s="144" t="s">
        <v>1311</v>
      </c>
      <c r="D586" s="145" t="s">
        <v>1312</v>
      </c>
      <c r="E586" s="41"/>
      <c r="F586" s="93"/>
      <c r="G586" s="41"/>
      <c r="H586" s="76"/>
      <c r="I586" s="94" t="b">
        <f>EXACT(C586,O586)</f>
        <v>1</v>
      </c>
      <c r="J586" s="94" t="b">
        <f>EXACT(D586,P586)</f>
        <v>1</v>
      </c>
      <c r="K586" s="94" t="s">
        <v>1568</v>
      </c>
      <c r="L586" s="94"/>
      <c r="M586" s="172" t="s">
        <v>658</v>
      </c>
      <c r="N586" s="169" t="s">
        <v>318</v>
      </c>
      <c r="O586" s="159" t="s">
        <v>1311</v>
      </c>
      <c r="P586" s="189" t="s">
        <v>1312</v>
      </c>
      <c r="Q586" s="130"/>
      <c r="R586" s="130"/>
      <c r="S586" s="130"/>
    </row>
    <row r="587" spans="1:19" s="75" customFormat="1" ht="24.9">
      <c r="A587" s="204" t="s">
        <v>658</v>
      </c>
      <c r="B587" s="153" t="s">
        <v>318</v>
      </c>
      <c r="C587" s="144" t="s">
        <v>1313</v>
      </c>
      <c r="D587" s="145" t="s">
        <v>1314</v>
      </c>
      <c r="E587" s="41"/>
      <c r="F587" s="93"/>
      <c r="G587" s="41"/>
      <c r="H587" s="76"/>
      <c r="I587" s="94" t="b">
        <f>EXACT(C587,O587)</f>
        <v>1</v>
      </c>
      <c r="J587" s="94" t="b">
        <f>EXACT(D587,P587)</f>
        <v>1</v>
      </c>
      <c r="K587" s="94" t="s">
        <v>1568</v>
      </c>
      <c r="L587" s="94"/>
      <c r="M587" s="172" t="s">
        <v>658</v>
      </c>
      <c r="N587" s="169" t="s">
        <v>318</v>
      </c>
      <c r="O587" s="159" t="s">
        <v>1313</v>
      </c>
      <c r="P587" s="189" t="s">
        <v>1314</v>
      </c>
      <c r="Q587" s="130"/>
      <c r="R587" s="130"/>
      <c r="S587" s="130"/>
    </row>
    <row r="588" spans="1:19" s="75" customFormat="1" ht="14.6">
      <c r="A588" s="204" t="s">
        <v>658</v>
      </c>
      <c r="B588" s="153" t="s">
        <v>318</v>
      </c>
      <c r="C588" s="144" t="s">
        <v>1315</v>
      </c>
      <c r="D588" s="145" t="s">
        <v>1316</v>
      </c>
      <c r="E588" s="41"/>
      <c r="F588" s="93"/>
      <c r="G588" s="41"/>
      <c r="H588" s="76"/>
      <c r="I588" s="94" t="b">
        <f>EXACT(C588,O588)</f>
        <v>1</v>
      </c>
      <c r="J588" s="94" t="b">
        <f>EXACT(D588,P588)</f>
        <v>1</v>
      </c>
      <c r="K588" s="94" t="s">
        <v>1568</v>
      </c>
      <c r="L588" s="94"/>
      <c r="M588" s="172" t="s">
        <v>658</v>
      </c>
      <c r="N588" s="169" t="s">
        <v>318</v>
      </c>
      <c r="O588" s="159" t="s">
        <v>1315</v>
      </c>
      <c r="P588" s="189" t="s">
        <v>1316</v>
      </c>
      <c r="Q588" s="130"/>
      <c r="R588" s="130"/>
      <c r="S588" s="130"/>
    </row>
    <row r="589" spans="1:19" s="75" customFormat="1" ht="24.9">
      <c r="A589" s="204" t="s">
        <v>658</v>
      </c>
      <c r="B589" s="144" t="s">
        <v>381</v>
      </c>
      <c r="C589" s="144" t="s">
        <v>1355</v>
      </c>
      <c r="D589" s="145" t="s">
        <v>1356</v>
      </c>
      <c r="E589" s="41"/>
      <c r="F589" s="93"/>
      <c r="G589" s="41"/>
      <c r="H589" s="76"/>
      <c r="I589" s="94" t="b">
        <f>EXACT(C589,O589)</f>
        <v>1</v>
      </c>
      <c r="J589" s="94" t="b">
        <f>EXACT(D589,P589)</f>
        <v>1</v>
      </c>
      <c r="K589" s="94" t="s">
        <v>1568</v>
      </c>
      <c r="L589" s="94"/>
      <c r="M589" s="172" t="s">
        <v>658</v>
      </c>
      <c r="N589" s="159" t="s">
        <v>381</v>
      </c>
      <c r="O589" s="159" t="s">
        <v>1355</v>
      </c>
      <c r="P589" s="189" t="s">
        <v>1356</v>
      </c>
      <c r="Q589" s="130"/>
      <c r="R589" s="130"/>
      <c r="S589" s="130"/>
    </row>
    <row r="590" spans="1:19" s="75" customFormat="1" ht="14.6">
      <c r="A590" s="204" t="s">
        <v>658</v>
      </c>
      <c r="B590" s="144" t="s">
        <v>381</v>
      </c>
      <c r="C590" s="144" t="s">
        <v>1357</v>
      </c>
      <c r="D590" s="145" t="s">
        <v>1358</v>
      </c>
      <c r="E590" s="41"/>
      <c r="F590" s="93"/>
      <c r="G590" s="41"/>
      <c r="H590" s="76"/>
      <c r="I590" s="94" t="b">
        <f>EXACT(C590,O590)</f>
        <v>1</v>
      </c>
      <c r="J590" s="94" t="b">
        <f>EXACT(D590,P590)</f>
        <v>1</v>
      </c>
      <c r="K590" s="94" t="s">
        <v>1568</v>
      </c>
      <c r="L590" s="94"/>
      <c r="M590" s="172" t="s">
        <v>658</v>
      </c>
      <c r="N590" s="159" t="s">
        <v>381</v>
      </c>
      <c r="O590" s="159" t="s">
        <v>1357</v>
      </c>
      <c r="P590" s="189" t="s">
        <v>1358</v>
      </c>
      <c r="Q590" s="130"/>
      <c r="R590" s="130"/>
      <c r="S590" s="130"/>
    </row>
    <row r="591" spans="1:19" s="75" customFormat="1" ht="24.9">
      <c r="A591" s="204" t="s">
        <v>658</v>
      </c>
      <c r="B591" s="153" t="s">
        <v>318</v>
      </c>
      <c r="C591" s="144" t="s">
        <v>1317</v>
      </c>
      <c r="D591" s="145" t="s">
        <v>1318</v>
      </c>
      <c r="E591" s="41"/>
      <c r="F591" s="93"/>
      <c r="G591" s="41"/>
      <c r="H591" s="76"/>
      <c r="I591" s="94" t="b">
        <f>EXACT(C591,O591)</f>
        <v>1</v>
      </c>
      <c r="J591" s="94" t="b">
        <f>EXACT(D591,P591)</f>
        <v>1</v>
      </c>
      <c r="K591" s="94" t="s">
        <v>1568</v>
      </c>
      <c r="L591" s="94"/>
      <c r="M591" s="172" t="s">
        <v>658</v>
      </c>
      <c r="N591" s="169" t="s">
        <v>318</v>
      </c>
      <c r="O591" s="159" t="s">
        <v>1317</v>
      </c>
      <c r="P591" s="189" t="s">
        <v>1318</v>
      </c>
      <c r="Q591" s="130"/>
      <c r="R591" s="130"/>
      <c r="S591" s="130"/>
    </row>
    <row r="592" spans="1:19" s="75" customFormat="1" ht="74.599999999999994">
      <c r="A592" s="204" t="s">
        <v>658</v>
      </c>
      <c r="B592" s="144" t="s">
        <v>381</v>
      </c>
      <c r="C592" s="144" t="s">
        <v>1359</v>
      </c>
      <c r="D592" s="145" t="s">
        <v>1360</v>
      </c>
      <c r="E592" s="41"/>
      <c r="F592" s="93"/>
      <c r="G592" s="41"/>
      <c r="H592" s="76"/>
      <c r="I592" s="94" t="b">
        <f>EXACT(C592,O592)</f>
        <v>1</v>
      </c>
      <c r="J592" s="94" t="b">
        <f>EXACT(D592,P592)</f>
        <v>1</v>
      </c>
      <c r="K592" s="94" t="s">
        <v>1568</v>
      </c>
      <c r="L592" s="94"/>
      <c r="M592" s="172" t="s">
        <v>658</v>
      </c>
      <c r="N592" s="159" t="s">
        <v>381</v>
      </c>
      <c r="O592" s="159" t="s">
        <v>1359</v>
      </c>
      <c r="P592" s="189" t="s">
        <v>1360</v>
      </c>
      <c r="Q592" s="130"/>
      <c r="R592" s="130"/>
      <c r="S592" s="130"/>
    </row>
    <row r="593" spans="1:19" s="75" customFormat="1" ht="74.599999999999994">
      <c r="A593" s="204" t="s">
        <v>658</v>
      </c>
      <c r="B593" s="144" t="s">
        <v>381</v>
      </c>
      <c r="C593" s="144" t="s">
        <v>1361</v>
      </c>
      <c r="D593" s="145" t="s">
        <v>1362</v>
      </c>
      <c r="E593" s="41"/>
      <c r="F593" s="93"/>
      <c r="G593" s="41"/>
      <c r="H593" s="76"/>
      <c r="I593" s="94" t="b">
        <f>EXACT(C593,O593)</f>
        <v>1</v>
      </c>
      <c r="J593" s="94" t="b">
        <f>EXACT(D593,P593)</f>
        <v>1</v>
      </c>
      <c r="K593" s="94" t="s">
        <v>1568</v>
      </c>
      <c r="L593" s="94"/>
      <c r="M593" s="172" t="s">
        <v>658</v>
      </c>
      <c r="N593" s="159" t="s">
        <v>381</v>
      </c>
      <c r="O593" s="159" t="s">
        <v>1361</v>
      </c>
      <c r="P593" s="189" t="s">
        <v>1362</v>
      </c>
      <c r="Q593" s="130"/>
      <c r="R593" s="130"/>
      <c r="S593" s="130"/>
    </row>
    <row r="594" spans="1:19" s="75" customFormat="1" ht="74.599999999999994">
      <c r="A594" s="204" t="s">
        <v>658</v>
      </c>
      <c r="B594" s="144" t="s">
        <v>381</v>
      </c>
      <c r="C594" s="144" t="s">
        <v>1363</v>
      </c>
      <c r="D594" s="145" t="s">
        <v>1364</v>
      </c>
      <c r="E594" s="41"/>
      <c r="F594" s="93"/>
      <c r="G594" s="41"/>
      <c r="H594" s="76"/>
      <c r="I594" s="94" t="b">
        <f>EXACT(C594,O594)</f>
        <v>1</v>
      </c>
      <c r="J594" s="94" t="b">
        <f>EXACT(D594,P594)</f>
        <v>1</v>
      </c>
      <c r="K594" s="94" t="s">
        <v>1568</v>
      </c>
      <c r="L594" s="94"/>
      <c r="M594" s="172" t="s">
        <v>658</v>
      </c>
      <c r="N594" s="159" t="s">
        <v>381</v>
      </c>
      <c r="O594" s="159" t="s">
        <v>1363</v>
      </c>
      <c r="P594" s="189" t="s">
        <v>1364</v>
      </c>
      <c r="Q594" s="130"/>
      <c r="R594" s="130"/>
      <c r="S594" s="130"/>
    </row>
    <row r="595" spans="1:19" s="75" customFormat="1" ht="14.6">
      <c r="A595" s="198" t="s">
        <v>658</v>
      </c>
      <c r="B595" s="153" t="s">
        <v>318</v>
      </c>
      <c r="C595" s="144" t="s">
        <v>1319</v>
      </c>
      <c r="D595" s="145" t="s">
        <v>1320</v>
      </c>
      <c r="E595" s="97"/>
      <c r="F595" s="94"/>
      <c r="G595" s="94"/>
      <c r="H595" s="94"/>
      <c r="I595" s="94" t="b">
        <f>EXACT(C595,O595)</f>
        <v>1</v>
      </c>
      <c r="J595" s="94" t="b">
        <f>EXACT(D595,P595)</f>
        <v>1</v>
      </c>
      <c r="K595" s="94" t="s">
        <v>1568</v>
      </c>
      <c r="L595" s="94"/>
      <c r="M595" s="159" t="s">
        <v>658</v>
      </c>
      <c r="N595" s="169" t="s">
        <v>318</v>
      </c>
      <c r="O595" s="159" t="s">
        <v>1319</v>
      </c>
      <c r="P595" s="189" t="s">
        <v>1320</v>
      </c>
      <c r="Q595" s="130"/>
      <c r="R595" s="130"/>
      <c r="S595" s="130"/>
    </row>
    <row r="596" spans="1:19" s="75" customFormat="1" ht="186.45">
      <c r="A596" s="188" t="s">
        <v>658</v>
      </c>
      <c r="B596" s="153" t="s">
        <v>318</v>
      </c>
      <c r="C596" s="144" t="s">
        <v>1321</v>
      </c>
      <c r="D596" s="145" t="s">
        <v>1322</v>
      </c>
      <c r="E596" s="97"/>
      <c r="F596" s="94"/>
      <c r="G596" s="94"/>
      <c r="H596" s="94"/>
      <c r="I596" s="94" t="b">
        <f>EXACT(C596,O596)</f>
        <v>1</v>
      </c>
      <c r="J596" s="94" t="b">
        <f>EXACT(D596,P596)</f>
        <v>1</v>
      </c>
      <c r="K596" s="94" t="s">
        <v>1568</v>
      </c>
      <c r="L596" s="94"/>
      <c r="M596" s="160" t="s">
        <v>658</v>
      </c>
      <c r="N596" s="169" t="s">
        <v>318</v>
      </c>
      <c r="O596" s="159" t="s">
        <v>1321</v>
      </c>
      <c r="P596" s="189" t="s">
        <v>1322</v>
      </c>
      <c r="Q596" s="130"/>
      <c r="R596" s="130"/>
      <c r="S596" s="130"/>
    </row>
    <row r="597" spans="1:19" s="75" customFormat="1" ht="24.9">
      <c r="A597" s="198" t="s">
        <v>658</v>
      </c>
      <c r="B597" s="153" t="s">
        <v>318</v>
      </c>
      <c r="C597" s="144" t="s">
        <v>1323</v>
      </c>
      <c r="D597" s="157" t="s">
        <v>1324</v>
      </c>
      <c r="E597" s="97"/>
      <c r="F597" s="94"/>
      <c r="G597" s="94"/>
      <c r="H597" s="94"/>
      <c r="I597" s="94" t="b">
        <f>EXACT(C597,O597)</f>
        <v>1</v>
      </c>
      <c r="J597" s="94" t="b">
        <f>EXACT(D597,P597)</f>
        <v>1</v>
      </c>
      <c r="K597" s="94" t="s">
        <v>1568</v>
      </c>
      <c r="L597" s="94"/>
      <c r="M597" s="159" t="s">
        <v>658</v>
      </c>
      <c r="N597" s="169" t="s">
        <v>318</v>
      </c>
      <c r="O597" s="159" t="s">
        <v>1323</v>
      </c>
      <c r="P597" s="205" t="s">
        <v>1324</v>
      </c>
      <c r="Q597" s="130"/>
      <c r="R597" s="130"/>
      <c r="S597" s="130"/>
    </row>
    <row r="598" spans="1:19" s="75" customFormat="1" ht="14.6">
      <c r="A598" s="198" t="s">
        <v>658</v>
      </c>
      <c r="B598" s="153" t="s">
        <v>318</v>
      </c>
      <c r="C598" s="144" t="s">
        <v>1325</v>
      </c>
      <c r="D598" s="145" t="s">
        <v>1326</v>
      </c>
      <c r="E598" s="97"/>
      <c r="F598" s="94"/>
      <c r="G598" s="94"/>
      <c r="H598" s="94"/>
      <c r="I598" s="94" t="b">
        <f>EXACT(C598,O598)</f>
        <v>1</v>
      </c>
      <c r="J598" s="94" t="b">
        <f>EXACT(D598,P598)</f>
        <v>1</v>
      </c>
      <c r="K598" s="94" t="s">
        <v>1568</v>
      </c>
      <c r="L598" s="94"/>
      <c r="M598" s="159" t="s">
        <v>658</v>
      </c>
      <c r="N598" s="169" t="s">
        <v>318</v>
      </c>
      <c r="O598" s="159" t="s">
        <v>1325</v>
      </c>
      <c r="P598" s="189" t="s">
        <v>1326</v>
      </c>
      <c r="Q598" s="130"/>
      <c r="R598" s="130"/>
      <c r="S598" s="130"/>
    </row>
    <row r="599" spans="1:19" s="75" customFormat="1" ht="24.9">
      <c r="A599" s="204" t="s">
        <v>658</v>
      </c>
      <c r="B599" s="153" t="s">
        <v>318</v>
      </c>
      <c r="C599" s="144" t="s">
        <v>1327</v>
      </c>
      <c r="D599" s="145" t="s">
        <v>1328</v>
      </c>
      <c r="E599" s="41"/>
      <c r="F599" s="93"/>
      <c r="G599" s="41"/>
      <c r="H599" s="76"/>
      <c r="I599" s="94" t="b">
        <f>EXACT(C599,O599)</f>
        <v>1</v>
      </c>
      <c r="J599" s="94" t="b">
        <f>EXACT(D599,P599)</f>
        <v>1</v>
      </c>
      <c r="K599" s="94" t="s">
        <v>1568</v>
      </c>
      <c r="L599" s="94"/>
      <c r="M599" s="172" t="s">
        <v>658</v>
      </c>
      <c r="N599" s="169" t="s">
        <v>318</v>
      </c>
      <c r="O599" s="159" t="s">
        <v>1327</v>
      </c>
      <c r="P599" s="189" t="s">
        <v>1328</v>
      </c>
      <c r="Q599" s="130"/>
      <c r="R599" s="130"/>
      <c r="S599" s="130"/>
    </row>
    <row r="600" spans="1:19" s="75" customFormat="1" ht="24.9">
      <c r="A600" s="204" t="s">
        <v>658</v>
      </c>
      <c r="B600" s="153" t="s">
        <v>318</v>
      </c>
      <c r="C600" s="144" t="s">
        <v>1329</v>
      </c>
      <c r="D600" s="145" t="s">
        <v>1330</v>
      </c>
      <c r="E600" s="41"/>
      <c r="F600" s="93"/>
      <c r="G600" s="41"/>
      <c r="H600" s="76"/>
      <c r="I600" s="94" t="b">
        <f>EXACT(C600,O600)</f>
        <v>1</v>
      </c>
      <c r="J600" s="94" t="b">
        <f>EXACT(D600,P600)</f>
        <v>1</v>
      </c>
      <c r="K600" s="94" t="s">
        <v>1568</v>
      </c>
      <c r="L600" s="94"/>
      <c r="M600" s="172" t="s">
        <v>658</v>
      </c>
      <c r="N600" s="169" t="s">
        <v>318</v>
      </c>
      <c r="O600" s="159" t="s">
        <v>1329</v>
      </c>
      <c r="P600" s="189" t="s">
        <v>1330</v>
      </c>
      <c r="Q600" s="130"/>
      <c r="R600" s="130"/>
      <c r="S600" s="130"/>
    </row>
    <row r="601" spans="1:19" s="75" customFormat="1" ht="24.9">
      <c r="A601" s="196" t="s">
        <v>658</v>
      </c>
      <c r="B601" s="153" t="s">
        <v>318</v>
      </c>
      <c r="C601" s="144" t="s">
        <v>1331</v>
      </c>
      <c r="D601" s="154" t="s">
        <v>1332</v>
      </c>
      <c r="E601" s="97"/>
      <c r="F601" s="94"/>
      <c r="G601" s="94"/>
      <c r="H601" s="94"/>
      <c r="I601" s="94" t="b">
        <f>EXACT(C601,O601)</f>
        <v>1</v>
      </c>
      <c r="J601" s="94" t="b">
        <f>EXACT(D601,P601)</f>
        <v>1</v>
      </c>
      <c r="K601" s="94" t="s">
        <v>1568</v>
      </c>
      <c r="L601" s="94"/>
      <c r="M601" s="169" t="s">
        <v>658</v>
      </c>
      <c r="N601" s="169" t="s">
        <v>318</v>
      </c>
      <c r="O601" s="159" t="s">
        <v>1331</v>
      </c>
      <c r="P601" s="203" t="s">
        <v>1332</v>
      </c>
      <c r="Q601" s="130"/>
      <c r="R601" s="130"/>
      <c r="S601" s="130"/>
    </row>
    <row r="602" spans="1:19" s="75" customFormat="1" ht="24.9">
      <c r="A602" s="196" t="s">
        <v>658</v>
      </c>
      <c r="B602" s="153" t="s">
        <v>318</v>
      </c>
      <c r="C602" s="144" t="s">
        <v>1333</v>
      </c>
      <c r="D602" s="154" t="s">
        <v>1334</v>
      </c>
      <c r="E602" s="97"/>
      <c r="F602" s="94"/>
      <c r="G602" s="94"/>
      <c r="H602" s="94"/>
      <c r="I602" s="94" t="b">
        <f>EXACT(C602,O602)</f>
        <v>1</v>
      </c>
      <c r="J602" s="94" t="b">
        <f>EXACT(D602,P602)</f>
        <v>1</v>
      </c>
      <c r="K602" s="94" t="s">
        <v>1568</v>
      </c>
      <c r="L602" s="94"/>
      <c r="M602" s="166" t="s">
        <v>658</v>
      </c>
      <c r="N602" s="169" t="s">
        <v>318</v>
      </c>
      <c r="O602" s="159" t="s">
        <v>1333</v>
      </c>
      <c r="P602" s="201" t="s">
        <v>1334</v>
      </c>
      <c r="Q602" s="130"/>
      <c r="R602" s="130"/>
      <c r="S602" s="130"/>
    </row>
    <row r="603" spans="1:19" s="75" customFormat="1" ht="49.75">
      <c r="A603" s="188" t="s">
        <v>628</v>
      </c>
      <c r="B603" s="147" t="s">
        <v>381</v>
      </c>
      <c r="C603" s="144" t="s">
        <v>650</v>
      </c>
      <c r="D603" s="145" t="s">
        <v>651</v>
      </c>
      <c r="E603" s="97"/>
      <c r="F603" s="94"/>
      <c r="G603" s="94"/>
      <c r="H603" s="94"/>
      <c r="I603" s="94" t="b">
        <f>EXACT(C603,O603)</f>
        <v>1</v>
      </c>
      <c r="J603" s="94" t="b">
        <f>EXACT(D603,P603)</f>
        <v>1</v>
      </c>
      <c r="K603" s="94" t="s">
        <v>1568</v>
      </c>
      <c r="L603" s="94"/>
      <c r="M603" s="160" t="s">
        <v>628</v>
      </c>
      <c r="N603" s="160" t="s">
        <v>381</v>
      </c>
      <c r="O603" s="159" t="s">
        <v>650</v>
      </c>
      <c r="P603" s="189" t="s">
        <v>651</v>
      </c>
      <c r="Q603" s="130"/>
      <c r="R603" s="130"/>
      <c r="S603" s="130"/>
    </row>
    <row r="604" spans="1:19" s="75" customFormat="1" ht="24.9">
      <c r="A604" s="188" t="s">
        <v>628</v>
      </c>
      <c r="B604" s="147" t="s">
        <v>317</v>
      </c>
      <c r="C604" s="144" t="s">
        <v>632</v>
      </c>
      <c r="D604" s="145" t="s">
        <v>633</v>
      </c>
      <c r="E604" s="97"/>
      <c r="F604" s="94"/>
      <c r="G604" s="94"/>
      <c r="H604" s="94"/>
      <c r="I604" s="94" t="b">
        <f>EXACT(C604,O604)</f>
        <v>1</v>
      </c>
      <c r="J604" s="94" t="b">
        <f>EXACT(D604,P604)</f>
        <v>1</v>
      </c>
      <c r="K604" s="94" t="s">
        <v>1568</v>
      </c>
      <c r="L604" s="94"/>
      <c r="M604" s="160" t="s">
        <v>628</v>
      </c>
      <c r="N604" s="160" t="s">
        <v>317</v>
      </c>
      <c r="O604" s="159" t="s">
        <v>632</v>
      </c>
      <c r="P604" s="189" t="s">
        <v>633</v>
      </c>
      <c r="Q604" s="130"/>
      <c r="R604" s="130"/>
      <c r="S604" s="130"/>
    </row>
    <row r="605" spans="1:19" s="75" customFormat="1" ht="24.9">
      <c r="A605" s="188" t="s">
        <v>628</v>
      </c>
      <c r="B605" s="147" t="s">
        <v>317</v>
      </c>
      <c r="C605" s="144" t="s">
        <v>634</v>
      </c>
      <c r="D605" s="145" t="s">
        <v>635</v>
      </c>
      <c r="E605" s="97"/>
      <c r="F605" s="94"/>
      <c r="G605" s="94"/>
      <c r="H605" s="94"/>
      <c r="I605" s="94" t="b">
        <f>EXACT(C605,O605)</f>
        <v>1</v>
      </c>
      <c r="J605" s="94" t="b">
        <f>EXACT(D605,P605)</f>
        <v>1</v>
      </c>
      <c r="K605" s="94" t="s">
        <v>1568</v>
      </c>
      <c r="L605" s="94"/>
      <c r="M605" s="160" t="s">
        <v>628</v>
      </c>
      <c r="N605" s="160" t="s">
        <v>317</v>
      </c>
      <c r="O605" s="159" t="s">
        <v>634</v>
      </c>
      <c r="P605" s="189" t="s">
        <v>635</v>
      </c>
      <c r="Q605" s="130"/>
      <c r="R605" s="130"/>
      <c r="S605" s="130"/>
    </row>
    <row r="606" spans="1:19" s="75" customFormat="1" ht="24.9">
      <c r="A606" s="188" t="s">
        <v>628</v>
      </c>
      <c r="B606" s="147" t="s">
        <v>658</v>
      </c>
      <c r="C606" s="144" t="s">
        <v>659</v>
      </c>
      <c r="D606" s="145" t="s">
        <v>660</v>
      </c>
      <c r="E606" s="97"/>
      <c r="F606" s="94"/>
      <c r="G606" s="94"/>
      <c r="H606" s="94"/>
      <c r="I606" s="94" t="b">
        <f>EXACT(C606,O606)</f>
        <v>1</v>
      </c>
      <c r="J606" s="94" t="b">
        <f>EXACT(D606,P606)</f>
        <v>1</v>
      </c>
      <c r="K606" s="94" t="s">
        <v>1568</v>
      </c>
      <c r="L606" s="94"/>
      <c r="M606" s="160" t="s">
        <v>628</v>
      </c>
      <c r="N606" s="160" t="s">
        <v>658</v>
      </c>
      <c r="O606" s="159" t="s">
        <v>659</v>
      </c>
      <c r="P606" s="189" t="s">
        <v>660</v>
      </c>
      <c r="Q606" s="130"/>
      <c r="R606" s="130"/>
      <c r="S606" s="130"/>
    </row>
    <row r="607" spans="1:19" s="75" customFormat="1" ht="24.9">
      <c r="A607" s="188" t="s">
        <v>628</v>
      </c>
      <c r="B607" s="147" t="s">
        <v>658</v>
      </c>
      <c r="C607" s="144" t="s">
        <v>661</v>
      </c>
      <c r="D607" s="145" t="s">
        <v>662</v>
      </c>
      <c r="E607" s="97"/>
      <c r="F607" s="94"/>
      <c r="G607" s="94"/>
      <c r="H607" s="94"/>
      <c r="I607" s="94" t="b">
        <f>EXACT(C607,O607)</f>
        <v>1</v>
      </c>
      <c r="J607" s="94" t="b">
        <f>EXACT(D607,P607)</f>
        <v>1</v>
      </c>
      <c r="K607" s="94" t="s">
        <v>1568</v>
      </c>
      <c r="L607" s="94"/>
      <c r="M607" s="160" t="s">
        <v>628</v>
      </c>
      <c r="N607" s="160" t="s">
        <v>658</v>
      </c>
      <c r="O607" s="159" t="s">
        <v>661</v>
      </c>
      <c r="P607" s="189" t="s">
        <v>662</v>
      </c>
      <c r="Q607" s="130"/>
      <c r="R607" s="130"/>
      <c r="S607" s="130"/>
    </row>
    <row r="608" spans="1:19" s="75" customFormat="1" ht="24.9">
      <c r="A608" s="188" t="s">
        <v>628</v>
      </c>
      <c r="B608" s="147" t="s">
        <v>658</v>
      </c>
      <c r="C608" s="144" t="s">
        <v>663</v>
      </c>
      <c r="D608" s="145" t="s">
        <v>664</v>
      </c>
      <c r="E608" s="97"/>
      <c r="F608" s="94"/>
      <c r="G608" s="94"/>
      <c r="H608" s="94"/>
      <c r="I608" s="94" t="b">
        <f>EXACT(C608,O608)</f>
        <v>1</v>
      </c>
      <c r="J608" s="94" t="b">
        <f>EXACT(D608,P608)</f>
        <v>1</v>
      </c>
      <c r="K608" s="94" t="s">
        <v>1568</v>
      </c>
      <c r="L608" s="94"/>
      <c r="M608" s="160" t="s">
        <v>628</v>
      </c>
      <c r="N608" s="160" t="s">
        <v>658</v>
      </c>
      <c r="O608" s="159" t="s">
        <v>663</v>
      </c>
      <c r="P608" s="189" t="s">
        <v>664</v>
      </c>
      <c r="Q608" s="130"/>
      <c r="R608" s="130"/>
      <c r="S608" s="130"/>
    </row>
    <row r="609" spans="1:19" s="75" customFormat="1" ht="49.75">
      <c r="A609" s="188" t="s">
        <v>628</v>
      </c>
      <c r="B609" s="147" t="s">
        <v>381</v>
      </c>
      <c r="C609" s="144" t="s">
        <v>652</v>
      </c>
      <c r="D609" s="145" t="s">
        <v>653</v>
      </c>
      <c r="E609" s="97" t="s">
        <v>331</v>
      </c>
      <c r="F609" s="94"/>
      <c r="G609" s="94"/>
      <c r="H609" s="94"/>
      <c r="I609" s="94" t="b">
        <f>EXACT(C609,O609)</f>
        <v>1</v>
      </c>
      <c r="J609" s="94" t="b">
        <f>EXACT(D609,P609)</f>
        <v>1</v>
      </c>
      <c r="K609" s="94" t="s">
        <v>1568</v>
      </c>
      <c r="L609" s="94"/>
      <c r="M609" s="160" t="s">
        <v>628</v>
      </c>
      <c r="N609" s="160" t="s">
        <v>381</v>
      </c>
      <c r="O609" s="159" t="s">
        <v>652</v>
      </c>
      <c r="P609" s="189" t="s">
        <v>653</v>
      </c>
      <c r="Q609" s="130"/>
      <c r="R609" s="130"/>
      <c r="S609" s="130"/>
    </row>
    <row r="610" spans="1:19" s="75" customFormat="1" ht="99.45">
      <c r="A610" s="188" t="s">
        <v>628</v>
      </c>
      <c r="B610" s="147" t="s">
        <v>381</v>
      </c>
      <c r="C610" s="144" t="s">
        <v>654</v>
      </c>
      <c r="D610" s="145" t="s">
        <v>655</v>
      </c>
      <c r="E610" s="97"/>
      <c r="F610" s="94"/>
      <c r="G610" s="94"/>
      <c r="H610" s="94"/>
      <c r="I610" s="94" t="b">
        <f>EXACT(C610,O610)</f>
        <v>1</v>
      </c>
      <c r="J610" s="94" t="b">
        <f>EXACT(D610,P610)</f>
        <v>1</v>
      </c>
      <c r="K610" s="94" t="s">
        <v>1568</v>
      </c>
      <c r="L610" s="94"/>
      <c r="M610" s="160" t="s">
        <v>628</v>
      </c>
      <c r="N610" s="160" t="s">
        <v>381</v>
      </c>
      <c r="O610" s="159" t="s">
        <v>654</v>
      </c>
      <c r="P610" s="189" t="s">
        <v>655</v>
      </c>
      <c r="Q610" s="130"/>
      <c r="R610" s="130"/>
      <c r="S610" s="130"/>
    </row>
    <row r="611" spans="1:19" s="75" customFormat="1" ht="99.45">
      <c r="A611" s="188" t="s">
        <v>628</v>
      </c>
      <c r="B611" s="147" t="s">
        <v>381</v>
      </c>
      <c r="C611" s="144" t="s">
        <v>656</v>
      </c>
      <c r="D611" s="145" t="s">
        <v>657</v>
      </c>
      <c r="E611" s="97"/>
      <c r="F611" s="94"/>
      <c r="G611" s="94"/>
      <c r="H611" s="94"/>
      <c r="I611" s="94" t="b">
        <f>EXACT(C611,O611)</f>
        <v>1</v>
      </c>
      <c r="J611" s="94" t="b">
        <f>EXACT(D611,P611)</f>
        <v>1</v>
      </c>
      <c r="K611" s="94" t="s">
        <v>1568</v>
      </c>
      <c r="L611" s="94"/>
      <c r="M611" s="160" t="s">
        <v>628</v>
      </c>
      <c r="N611" s="160" t="s">
        <v>381</v>
      </c>
      <c r="O611" s="159" t="s">
        <v>656</v>
      </c>
      <c r="P611" s="189" t="s">
        <v>657</v>
      </c>
      <c r="Q611" s="130"/>
      <c r="R611" s="130"/>
      <c r="S611" s="130"/>
    </row>
    <row r="612" spans="1:19" s="75" customFormat="1" ht="14.6">
      <c r="A612" s="188" t="s">
        <v>628</v>
      </c>
      <c r="B612" s="147" t="s">
        <v>317</v>
      </c>
      <c r="C612" s="144" t="s">
        <v>636</v>
      </c>
      <c r="D612" s="145" t="s">
        <v>637</v>
      </c>
      <c r="E612" s="97" t="s">
        <v>331</v>
      </c>
      <c r="F612" s="94"/>
      <c r="G612" s="94"/>
      <c r="H612" s="94"/>
      <c r="I612" s="94" t="b">
        <f>EXACT(C612,O612)</f>
        <v>1</v>
      </c>
      <c r="J612" s="94" t="b">
        <f>EXACT(D612,P612)</f>
        <v>1</v>
      </c>
      <c r="K612" s="94" t="s">
        <v>1568</v>
      </c>
      <c r="L612" s="94"/>
      <c r="M612" s="160" t="s">
        <v>628</v>
      </c>
      <c r="N612" s="160" t="s">
        <v>317</v>
      </c>
      <c r="O612" s="159" t="s">
        <v>636</v>
      </c>
      <c r="P612" s="189" t="s">
        <v>637</v>
      </c>
      <c r="Q612" s="130"/>
      <c r="R612" s="130"/>
      <c r="S612" s="130"/>
    </row>
    <row r="613" spans="1:19" s="75" customFormat="1" ht="49.75">
      <c r="A613" s="188" t="s">
        <v>628</v>
      </c>
      <c r="B613" s="147" t="s">
        <v>317</v>
      </c>
      <c r="C613" s="144" t="s">
        <v>638</v>
      </c>
      <c r="D613" s="145" t="s">
        <v>639</v>
      </c>
      <c r="E613" s="97"/>
      <c r="F613" s="94"/>
      <c r="G613" s="94"/>
      <c r="H613" s="94"/>
      <c r="I613" s="94" t="b">
        <f>EXACT(C613,O613)</f>
        <v>1</v>
      </c>
      <c r="J613" s="94" t="b">
        <f>EXACT(D613,P613)</f>
        <v>1</v>
      </c>
      <c r="K613" s="94" t="s">
        <v>1568</v>
      </c>
      <c r="L613" s="94"/>
      <c r="M613" s="160" t="s">
        <v>628</v>
      </c>
      <c r="N613" s="160" t="s">
        <v>317</v>
      </c>
      <c r="O613" s="159" t="s">
        <v>638</v>
      </c>
      <c r="P613" s="189" t="s">
        <v>639</v>
      </c>
      <c r="Q613" s="130"/>
      <c r="R613" s="130"/>
      <c r="S613" s="130"/>
    </row>
    <row r="614" spans="1:19" s="75" customFormat="1" ht="49.75">
      <c r="A614" s="188" t="s">
        <v>628</v>
      </c>
      <c r="B614" s="147" t="s">
        <v>629</v>
      </c>
      <c r="C614" s="144" t="s">
        <v>630</v>
      </c>
      <c r="D614" s="145" t="s">
        <v>631</v>
      </c>
      <c r="E614" s="97"/>
      <c r="F614" s="94"/>
      <c r="G614" s="94"/>
      <c r="H614" s="94"/>
      <c r="I614" s="94" t="b">
        <f>EXACT(C614,O614)</f>
        <v>1</v>
      </c>
      <c r="J614" s="94" t="b">
        <f>EXACT(D614,P614)</f>
        <v>1</v>
      </c>
      <c r="K614" s="94" t="s">
        <v>1568</v>
      </c>
      <c r="L614" s="94"/>
      <c r="M614" s="160" t="s">
        <v>628</v>
      </c>
      <c r="N614" s="160" t="s">
        <v>629</v>
      </c>
      <c r="O614" s="159" t="s">
        <v>630</v>
      </c>
      <c r="P614" s="189" t="s">
        <v>631</v>
      </c>
      <c r="Q614" s="130"/>
      <c r="R614" s="130"/>
      <c r="S614" s="130"/>
    </row>
    <row r="615" spans="1:19" s="75" customFormat="1" ht="24.9">
      <c r="A615" s="188" t="s">
        <v>628</v>
      </c>
      <c r="B615" s="147" t="s">
        <v>658</v>
      </c>
      <c r="C615" s="144" t="s">
        <v>665</v>
      </c>
      <c r="D615" s="145" t="s">
        <v>666</v>
      </c>
      <c r="E615" s="97"/>
      <c r="F615" s="94"/>
      <c r="G615" s="94"/>
      <c r="H615" s="94"/>
      <c r="I615" s="94" t="b">
        <f>EXACT(C615,O615)</f>
        <v>1</v>
      </c>
      <c r="J615" s="94" t="b">
        <f>EXACT(D615,P615)</f>
        <v>1</v>
      </c>
      <c r="K615" s="94" t="s">
        <v>1568</v>
      </c>
      <c r="L615" s="94"/>
      <c r="M615" s="160" t="s">
        <v>628</v>
      </c>
      <c r="N615" s="160" t="s">
        <v>658</v>
      </c>
      <c r="O615" s="159" t="s">
        <v>665</v>
      </c>
      <c r="P615" s="189" t="s">
        <v>666</v>
      </c>
      <c r="Q615" s="130"/>
      <c r="R615" s="130"/>
      <c r="S615" s="130"/>
    </row>
    <row r="616" spans="1:19" s="75" customFormat="1" ht="24.9">
      <c r="A616" s="188" t="s">
        <v>628</v>
      </c>
      <c r="B616" s="147" t="s">
        <v>658</v>
      </c>
      <c r="C616" s="144" t="s">
        <v>667</v>
      </c>
      <c r="D616" s="145" t="s">
        <v>668</v>
      </c>
      <c r="E616" s="97"/>
      <c r="F616" s="94"/>
      <c r="G616" s="94"/>
      <c r="H616" s="94"/>
      <c r="I616" s="94" t="b">
        <f>EXACT(C616,O616)</f>
        <v>1</v>
      </c>
      <c r="J616" s="94" t="b">
        <f>EXACT(D616,P616)</f>
        <v>1</v>
      </c>
      <c r="K616" s="94" t="s">
        <v>1568</v>
      </c>
      <c r="L616" s="94"/>
      <c r="M616" s="160" t="s">
        <v>628</v>
      </c>
      <c r="N616" s="160" t="s">
        <v>658</v>
      </c>
      <c r="O616" s="159" t="s">
        <v>667</v>
      </c>
      <c r="P616" s="189" t="s">
        <v>668</v>
      </c>
      <c r="Q616" s="130"/>
      <c r="R616" s="130"/>
      <c r="S616" s="130"/>
    </row>
    <row r="617" spans="1:19" s="75" customFormat="1" ht="14.6">
      <c r="A617" s="188" t="s">
        <v>628</v>
      </c>
      <c r="B617" s="147" t="s">
        <v>658</v>
      </c>
      <c r="C617" s="144" t="s">
        <v>669</v>
      </c>
      <c r="D617" s="145" t="s">
        <v>670</v>
      </c>
      <c r="E617" s="97"/>
      <c r="F617" s="94"/>
      <c r="G617" s="94"/>
      <c r="H617" s="94"/>
      <c r="I617" s="94" t="b">
        <f>EXACT(C617,O617)</f>
        <v>1</v>
      </c>
      <c r="J617" s="94" t="b">
        <f>EXACT(D617,P617)</f>
        <v>1</v>
      </c>
      <c r="K617" s="94" t="s">
        <v>1568</v>
      </c>
      <c r="L617" s="94"/>
      <c r="M617" s="160" t="s">
        <v>628</v>
      </c>
      <c r="N617" s="160" t="s">
        <v>658</v>
      </c>
      <c r="O617" s="159" t="s">
        <v>669</v>
      </c>
      <c r="P617" s="189" t="s">
        <v>670</v>
      </c>
      <c r="Q617" s="130"/>
      <c r="R617" s="130"/>
      <c r="S617" s="130"/>
    </row>
    <row r="618" spans="1:19" s="75" customFormat="1" ht="14.6">
      <c r="A618" s="188" t="s">
        <v>628</v>
      </c>
      <c r="B618" s="147" t="s">
        <v>317</v>
      </c>
      <c r="C618" s="144" t="s">
        <v>640</v>
      </c>
      <c r="D618" s="145" t="s">
        <v>641</v>
      </c>
      <c r="E618" s="97"/>
      <c r="F618" s="94"/>
      <c r="G618" s="94"/>
      <c r="H618" s="94"/>
      <c r="I618" s="94" t="b">
        <f>EXACT(C618,O618)</f>
        <v>1</v>
      </c>
      <c r="J618" s="94" t="b">
        <f>EXACT(D618,P618)</f>
        <v>1</v>
      </c>
      <c r="K618" s="94" t="s">
        <v>1568</v>
      </c>
      <c r="L618" s="94"/>
      <c r="M618" s="160" t="s">
        <v>628</v>
      </c>
      <c r="N618" s="160" t="s">
        <v>317</v>
      </c>
      <c r="O618" s="159" t="s">
        <v>640</v>
      </c>
      <c r="P618" s="189" t="s">
        <v>641</v>
      </c>
      <c r="Q618" s="130"/>
      <c r="R618" s="130"/>
      <c r="S618" s="130"/>
    </row>
    <row r="619" spans="1:19" s="75" customFormat="1" ht="14.6">
      <c r="A619" s="188" t="s">
        <v>628</v>
      </c>
      <c r="B619" s="147" t="s">
        <v>317</v>
      </c>
      <c r="C619" s="144" t="s">
        <v>642</v>
      </c>
      <c r="D619" s="145" t="s">
        <v>643</v>
      </c>
      <c r="E619" s="97" t="s">
        <v>331</v>
      </c>
      <c r="F619" s="94"/>
      <c r="G619" s="94"/>
      <c r="H619" s="94"/>
      <c r="I619" s="94" t="b">
        <f>EXACT(C619,O619)</f>
        <v>1</v>
      </c>
      <c r="J619" s="94" t="b">
        <f>EXACT(D619,P619)</f>
        <v>1</v>
      </c>
      <c r="K619" s="94" t="s">
        <v>1568</v>
      </c>
      <c r="L619" s="94"/>
      <c r="M619" s="160" t="s">
        <v>628</v>
      </c>
      <c r="N619" s="160" t="s">
        <v>317</v>
      </c>
      <c r="O619" s="159" t="s">
        <v>642</v>
      </c>
      <c r="P619" s="189" t="s">
        <v>643</v>
      </c>
      <c r="Q619" s="130"/>
      <c r="R619" s="130"/>
      <c r="S619" s="130"/>
    </row>
    <row r="620" spans="1:19" s="75" customFormat="1" ht="14.6">
      <c r="A620" s="188" t="s">
        <v>628</v>
      </c>
      <c r="B620" s="147" t="s">
        <v>317</v>
      </c>
      <c r="C620" s="144" t="s">
        <v>644</v>
      </c>
      <c r="D620" s="145" t="s">
        <v>645</v>
      </c>
      <c r="E620" s="97" t="s">
        <v>331</v>
      </c>
      <c r="F620" s="94"/>
      <c r="G620" s="94"/>
      <c r="H620" s="94"/>
      <c r="I620" s="94" t="b">
        <f>EXACT(C620,O620)</f>
        <v>1</v>
      </c>
      <c r="J620" s="94" t="b">
        <f>EXACT(D620,P620)</f>
        <v>1</v>
      </c>
      <c r="K620" s="94" t="s">
        <v>1568</v>
      </c>
      <c r="L620" s="94"/>
      <c r="M620" s="160" t="s">
        <v>628</v>
      </c>
      <c r="N620" s="160" t="s">
        <v>317</v>
      </c>
      <c r="O620" s="159" t="s">
        <v>644</v>
      </c>
      <c r="P620" s="189" t="s">
        <v>645</v>
      </c>
      <c r="Q620" s="130"/>
      <c r="R620" s="130"/>
      <c r="S620" s="130"/>
    </row>
    <row r="621" spans="1:19" s="75" customFormat="1" ht="24.9">
      <c r="A621" s="188" t="s">
        <v>628</v>
      </c>
      <c r="B621" s="147" t="s">
        <v>317</v>
      </c>
      <c r="C621" s="144" t="s">
        <v>646</v>
      </c>
      <c r="D621" s="145" t="s">
        <v>647</v>
      </c>
      <c r="E621" s="97"/>
      <c r="F621" s="94"/>
      <c r="G621" s="94"/>
      <c r="H621" s="94"/>
      <c r="I621" s="94" t="b">
        <f>EXACT(C621,O621)</f>
        <v>1</v>
      </c>
      <c r="J621" s="94" t="b">
        <f>EXACT(D621,P621)</f>
        <v>1</v>
      </c>
      <c r="K621" s="94" t="s">
        <v>1568</v>
      </c>
      <c r="L621" s="94"/>
      <c r="M621" s="160" t="s">
        <v>628</v>
      </c>
      <c r="N621" s="160" t="s">
        <v>317</v>
      </c>
      <c r="O621" s="159" t="s">
        <v>646</v>
      </c>
      <c r="P621" s="189" t="s">
        <v>647</v>
      </c>
      <c r="Q621" s="130"/>
      <c r="R621" s="130"/>
      <c r="S621" s="130"/>
    </row>
    <row r="622" spans="1:19" s="75" customFormat="1" ht="24.9">
      <c r="A622" s="188" t="s">
        <v>628</v>
      </c>
      <c r="B622" s="147" t="s">
        <v>658</v>
      </c>
      <c r="C622" s="144" t="s">
        <v>671</v>
      </c>
      <c r="D622" s="145" t="s">
        <v>672</v>
      </c>
      <c r="E622" s="97"/>
      <c r="F622" s="94"/>
      <c r="G622" s="94"/>
      <c r="H622" s="94"/>
      <c r="I622" s="94" t="b">
        <f>EXACT(C622,O622)</f>
        <v>1</v>
      </c>
      <c r="J622" s="94" t="b">
        <f>EXACT(D622,P622)</f>
        <v>1</v>
      </c>
      <c r="K622" s="94" t="s">
        <v>1568</v>
      </c>
      <c r="L622" s="94"/>
      <c r="M622" s="160" t="s">
        <v>628</v>
      </c>
      <c r="N622" s="160" t="s">
        <v>658</v>
      </c>
      <c r="O622" s="159" t="s">
        <v>671</v>
      </c>
      <c r="P622" s="189" t="s">
        <v>672</v>
      </c>
      <c r="Q622" s="130"/>
      <c r="R622" s="130"/>
      <c r="S622" s="130"/>
    </row>
    <row r="623" spans="1:19" s="75" customFormat="1" ht="24.9">
      <c r="A623" s="188" t="s">
        <v>628</v>
      </c>
      <c r="B623" s="147" t="s">
        <v>317</v>
      </c>
      <c r="C623" s="144" t="s">
        <v>648</v>
      </c>
      <c r="D623" s="145" t="s">
        <v>649</v>
      </c>
      <c r="E623" s="97"/>
      <c r="F623" s="94"/>
      <c r="G623" s="94"/>
      <c r="H623" s="94"/>
      <c r="I623" s="94" t="b">
        <f>EXACT(C623,O623)</f>
        <v>1</v>
      </c>
      <c r="J623" s="94" t="b">
        <f>EXACT(D623,P623)</f>
        <v>1</v>
      </c>
      <c r="K623" s="94" t="s">
        <v>1568</v>
      </c>
      <c r="L623" s="94"/>
      <c r="M623" s="160" t="s">
        <v>628</v>
      </c>
      <c r="N623" s="160" t="s">
        <v>317</v>
      </c>
      <c r="O623" s="159" t="s">
        <v>648</v>
      </c>
      <c r="P623" s="189" t="s">
        <v>649</v>
      </c>
      <c r="Q623" s="130"/>
      <c r="R623" s="130"/>
      <c r="S623" s="130"/>
    </row>
    <row r="624" spans="1:19" s="75" customFormat="1" ht="62.6" thickBot="1">
      <c r="A624" s="206" t="s">
        <v>1365</v>
      </c>
      <c r="B624" s="207" t="s">
        <v>381</v>
      </c>
      <c r="C624" s="208" t="s">
        <v>1366</v>
      </c>
      <c r="D624" s="209" t="s">
        <v>1367</v>
      </c>
      <c r="E624" s="210"/>
      <c r="F624" s="211"/>
      <c r="G624" s="210"/>
      <c r="H624" s="82"/>
      <c r="I624" s="212" t="b">
        <f>EXACT(C624,O624)</f>
        <v>1</v>
      </c>
      <c r="J624" s="212" t="b">
        <f>EXACT(D624,P624)</f>
        <v>1</v>
      </c>
      <c r="K624" s="212" t="s">
        <v>1568</v>
      </c>
      <c r="L624" s="212"/>
      <c r="M624" s="213" t="s">
        <v>1365</v>
      </c>
      <c r="N624" s="213" t="s">
        <v>381</v>
      </c>
      <c r="O624" s="214" t="s">
        <v>1366</v>
      </c>
      <c r="P624" s="215" t="s">
        <v>1367</v>
      </c>
      <c r="Q624" s="131"/>
      <c r="R624" s="131"/>
      <c r="S624" s="131"/>
    </row>
    <row r="625" spans="1:19" s="75" customFormat="1" ht="14.6">
      <c r="A625" s="90"/>
      <c r="B625" s="90"/>
      <c r="D625" s="91"/>
      <c r="E625" s="77"/>
      <c r="M625" s="133"/>
      <c r="N625" s="135"/>
      <c r="O625" s="133"/>
      <c r="P625" s="136"/>
      <c r="Q625" s="134"/>
      <c r="R625" s="134"/>
      <c r="S625" s="134"/>
    </row>
    <row r="626" spans="1:19" s="75" customFormat="1" ht="14.6">
      <c r="A626" s="90"/>
      <c r="B626" s="90"/>
      <c r="D626" s="91"/>
      <c r="E626" s="77"/>
      <c r="M626" s="133"/>
      <c r="N626" s="135"/>
      <c r="O626" s="133"/>
      <c r="P626" s="136"/>
      <c r="Q626" s="134"/>
      <c r="R626" s="134"/>
      <c r="S626" s="134"/>
    </row>
    <row r="627" spans="1:19" s="75" customFormat="1" ht="14.6">
      <c r="A627" s="90"/>
      <c r="B627" s="90"/>
      <c r="D627" s="91"/>
      <c r="E627" s="77"/>
      <c r="M627" s="133"/>
      <c r="N627" s="135"/>
      <c r="O627" s="133"/>
      <c r="P627" s="136"/>
      <c r="Q627" s="134"/>
      <c r="R627" s="134"/>
      <c r="S627" s="134"/>
    </row>
    <row r="628" spans="1:19" s="75" customFormat="1" ht="14.6">
      <c r="A628" s="90"/>
      <c r="B628" s="90"/>
      <c r="D628" s="91"/>
      <c r="E628" s="77"/>
      <c r="M628" s="133"/>
      <c r="N628" s="135"/>
      <c r="O628" s="133"/>
      <c r="P628" s="136"/>
      <c r="Q628" s="134"/>
      <c r="R628" s="134"/>
      <c r="S628" s="134"/>
    </row>
    <row r="629" spans="1:19" s="75" customFormat="1" ht="14.6">
      <c r="A629" s="90"/>
      <c r="B629" s="90"/>
      <c r="D629" s="91"/>
      <c r="E629" s="77"/>
      <c r="M629" s="133"/>
      <c r="N629" s="135"/>
      <c r="O629" s="133"/>
      <c r="P629" s="136"/>
      <c r="Q629" s="134"/>
      <c r="R629" s="134"/>
      <c r="S629" s="134"/>
    </row>
    <row r="630" spans="1:19" s="75" customFormat="1" ht="14.6">
      <c r="A630" s="90"/>
      <c r="B630" s="90"/>
      <c r="D630" s="91"/>
      <c r="E630" s="77"/>
      <c r="M630" s="133"/>
      <c r="N630" s="135"/>
      <c r="O630" s="133"/>
      <c r="P630" s="136"/>
      <c r="Q630" s="134"/>
      <c r="R630" s="134"/>
      <c r="S630" s="134"/>
    </row>
    <row r="631" spans="1:19" s="75" customFormat="1" ht="14.6">
      <c r="A631" s="90"/>
      <c r="B631" s="90"/>
      <c r="D631" s="91"/>
      <c r="E631" s="77"/>
      <c r="M631" s="133"/>
      <c r="N631" s="135"/>
      <c r="O631" s="133"/>
      <c r="P631" s="136"/>
      <c r="Q631" s="134"/>
      <c r="R631" s="134"/>
      <c r="S631" s="134"/>
    </row>
    <row r="632" spans="1:19" s="75" customFormat="1" ht="14.6">
      <c r="A632" s="90"/>
      <c r="B632" s="90"/>
      <c r="D632" s="91"/>
      <c r="E632" s="77"/>
      <c r="M632" s="133"/>
      <c r="N632" s="135"/>
      <c r="O632" s="133"/>
      <c r="P632" s="136"/>
      <c r="Q632" s="134"/>
      <c r="R632" s="134"/>
      <c r="S632" s="134"/>
    </row>
    <row r="633" spans="1:19" s="75" customFormat="1" ht="14.6">
      <c r="A633" s="90"/>
      <c r="B633" s="90"/>
      <c r="D633" s="91"/>
      <c r="E633" s="77"/>
      <c r="M633" s="133"/>
      <c r="N633" s="135"/>
      <c r="O633" s="133"/>
      <c r="P633" s="136"/>
      <c r="Q633" s="134"/>
      <c r="R633" s="134"/>
      <c r="S633" s="134"/>
    </row>
    <row r="634" spans="1:19" s="75" customFormat="1" ht="14.6">
      <c r="A634" s="90"/>
      <c r="B634" s="90"/>
      <c r="D634" s="91"/>
      <c r="E634" s="77"/>
      <c r="M634" s="133"/>
      <c r="N634" s="135"/>
      <c r="O634" s="133"/>
      <c r="P634" s="136"/>
      <c r="Q634" s="134"/>
      <c r="R634" s="134"/>
      <c r="S634" s="134"/>
    </row>
    <row r="635" spans="1:19" s="75" customFormat="1" ht="14.6">
      <c r="A635" s="90"/>
      <c r="B635" s="90"/>
      <c r="D635" s="91"/>
      <c r="E635" s="77"/>
      <c r="M635" s="133"/>
      <c r="N635" s="135"/>
      <c r="O635" s="133"/>
      <c r="P635" s="136"/>
      <c r="Q635" s="134"/>
      <c r="R635" s="134"/>
      <c r="S635" s="134"/>
    </row>
    <row r="636" spans="1:19" s="75" customFormat="1" ht="14.6">
      <c r="A636" s="90"/>
      <c r="B636" s="90"/>
      <c r="D636" s="91"/>
      <c r="E636" s="77"/>
      <c r="M636" s="133"/>
      <c r="N636" s="135"/>
      <c r="O636" s="133"/>
      <c r="P636" s="136"/>
      <c r="Q636" s="134"/>
      <c r="R636" s="134"/>
      <c r="S636" s="134"/>
    </row>
    <row r="637" spans="1:19" s="75" customFormat="1" ht="14.6">
      <c r="A637" s="90"/>
      <c r="B637" s="90"/>
      <c r="D637" s="91"/>
      <c r="E637" s="77"/>
      <c r="M637" s="133"/>
      <c r="N637" s="135"/>
      <c r="O637" s="133"/>
      <c r="P637" s="136"/>
      <c r="Q637" s="134"/>
      <c r="R637" s="134"/>
      <c r="S637" s="134"/>
    </row>
    <row r="638" spans="1:19" s="75" customFormat="1" ht="14.6">
      <c r="A638" s="90"/>
      <c r="B638" s="90"/>
      <c r="D638" s="91"/>
      <c r="E638" s="77"/>
      <c r="M638" s="133"/>
      <c r="N638" s="135"/>
      <c r="O638" s="133"/>
      <c r="P638" s="136"/>
      <c r="Q638" s="134"/>
      <c r="R638" s="134"/>
      <c r="S638" s="134"/>
    </row>
    <row r="639" spans="1:19" s="75" customFormat="1" ht="14.6">
      <c r="A639" s="90"/>
      <c r="B639" s="90"/>
      <c r="D639" s="91"/>
      <c r="E639" s="77"/>
      <c r="M639" s="133"/>
      <c r="N639" s="135"/>
      <c r="O639" s="133"/>
      <c r="P639" s="136"/>
      <c r="Q639" s="134"/>
      <c r="R639" s="134"/>
      <c r="S639" s="134"/>
    </row>
    <row r="640" spans="1:19" s="75" customFormat="1" ht="14.6">
      <c r="A640" s="90"/>
      <c r="B640" s="90"/>
      <c r="D640" s="91"/>
      <c r="E640" s="77"/>
      <c r="M640" s="133"/>
      <c r="N640" s="135"/>
      <c r="O640" s="133"/>
      <c r="P640" s="136"/>
      <c r="Q640" s="134"/>
      <c r="R640" s="134"/>
      <c r="S640" s="134"/>
    </row>
    <row r="641" spans="1:19" s="75" customFormat="1" ht="14.6">
      <c r="A641" s="90"/>
      <c r="B641" s="90"/>
      <c r="D641" s="91"/>
      <c r="E641" s="77"/>
      <c r="M641" s="133"/>
      <c r="N641" s="135"/>
      <c r="O641" s="133"/>
      <c r="P641" s="136"/>
      <c r="Q641" s="134"/>
      <c r="R641" s="134"/>
      <c r="S641" s="134"/>
    </row>
    <row r="642" spans="1:19" s="75" customFormat="1" ht="14.6">
      <c r="A642" s="90"/>
      <c r="B642" s="90"/>
      <c r="D642" s="91"/>
      <c r="E642" s="77"/>
      <c r="M642" s="133"/>
      <c r="N642" s="135"/>
      <c r="O642" s="133"/>
      <c r="P642" s="136"/>
      <c r="Q642" s="134"/>
      <c r="R642" s="134"/>
      <c r="S642" s="134"/>
    </row>
    <row r="643" spans="1:19" s="75" customFormat="1" ht="14.6">
      <c r="A643" s="90"/>
      <c r="B643" s="90"/>
      <c r="D643" s="91"/>
      <c r="E643" s="77"/>
      <c r="M643" s="133"/>
      <c r="N643" s="135"/>
      <c r="O643" s="133"/>
      <c r="P643" s="136"/>
      <c r="Q643" s="134"/>
      <c r="R643" s="134"/>
      <c r="S643" s="134"/>
    </row>
    <row r="644" spans="1:19" s="75" customFormat="1" ht="14.6">
      <c r="A644" s="90"/>
      <c r="B644" s="90"/>
      <c r="D644" s="91"/>
      <c r="E644" s="77"/>
      <c r="M644" s="133"/>
      <c r="N644" s="135"/>
      <c r="O644" s="133"/>
      <c r="P644" s="136"/>
      <c r="Q644" s="134"/>
      <c r="R644" s="134"/>
      <c r="S644" s="134"/>
    </row>
    <row r="645" spans="1:19" s="75" customFormat="1" ht="14.6">
      <c r="A645" s="90"/>
      <c r="B645" s="90"/>
      <c r="D645" s="91"/>
      <c r="E645" s="77"/>
      <c r="M645" s="133"/>
      <c r="N645" s="135"/>
      <c r="O645" s="133"/>
      <c r="P645" s="136"/>
      <c r="Q645" s="134"/>
      <c r="R645" s="134"/>
      <c r="S645" s="134"/>
    </row>
    <row r="646" spans="1:19" s="75" customFormat="1" ht="14.6">
      <c r="A646" s="90"/>
      <c r="B646" s="90"/>
      <c r="D646" s="91"/>
      <c r="E646" s="77"/>
      <c r="M646" s="133"/>
      <c r="N646" s="135"/>
      <c r="O646" s="133"/>
      <c r="P646" s="136"/>
      <c r="Q646" s="134"/>
      <c r="R646" s="134"/>
      <c r="S646" s="134"/>
    </row>
    <row r="647" spans="1:19" s="75" customFormat="1" ht="14.6">
      <c r="A647" s="90"/>
      <c r="B647" s="90"/>
      <c r="D647" s="91"/>
      <c r="E647" s="77"/>
      <c r="M647" s="133"/>
      <c r="N647" s="135"/>
      <c r="O647" s="133"/>
      <c r="P647" s="136"/>
      <c r="Q647" s="134"/>
      <c r="R647" s="134"/>
      <c r="S647" s="134"/>
    </row>
    <row r="648" spans="1:19" s="75" customFormat="1" ht="14.6">
      <c r="A648" s="90"/>
      <c r="B648" s="90"/>
      <c r="D648" s="91"/>
      <c r="E648" s="77"/>
      <c r="M648" s="133"/>
      <c r="N648" s="135"/>
      <c r="O648" s="133"/>
      <c r="P648" s="136"/>
      <c r="Q648" s="134"/>
      <c r="R648" s="134"/>
      <c r="S648" s="134"/>
    </row>
    <row r="649" spans="1:19" s="75" customFormat="1" ht="14.6">
      <c r="A649" s="90"/>
      <c r="B649" s="90"/>
      <c r="D649" s="91"/>
      <c r="E649" s="77"/>
      <c r="M649" s="133"/>
      <c r="N649" s="135"/>
      <c r="O649" s="133"/>
      <c r="P649" s="136"/>
      <c r="Q649" s="134"/>
      <c r="R649" s="134"/>
      <c r="S649" s="134"/>
    </row>
    <row r="650" spans="1:19" s="75" customFormat="1" ht="14.6">
      <c r="A650" s="90"/>
      <c r="B650" s="90"/>
      <c r="D650" s="91"/>
      <c r="E650" s="77"/>
      <c r="M650" s="133"/>
      <c r="N650" s="135"/>
      <c r="O650" s="133"/>
      <c r="P650" s="136"/>
      <c r="Q650" s="134"/>
      <c r="R650" s="134"/>
      <c r="S650" s="134"/>
    </row>
    <row r="651" spans="1:19" s="75" customFormat="1" ht="14.6">
      <c r="A651" s="90"/>
      <c r="B651" s="90"/>
      <c r="D651" s="91"/>
      <c r="E651" s="77"/>
      <c r="M651" s="133"/>
      <c r="N651" s="135"/>
      <c r="O651" s="133"/>
      <c r="P651" s="136"/>
      <c r="Q651" s="134"/>
      <c r="R651" s="134"/>
      <c r="S651" s="134"/>
    </row>
    <row r="652" spans="1:19" s="75" customFormat="1" ht="14.6">
      <c r="A652" s="90"/>
      <c r="B652" s="90"/>
      <c r="D652" s="91"/>
      <c r="E652" s="77"/>
      <c r="M652" s="133"/>
      <c r="N652" s="135"/>
      <c r="O652" s="133"/>
      <c r="P652" s="136"/>
      <c r="Q652" s="134"/>
      <c r="R652" s="134"/>
      <c r="S652" s="134"/>
    </row>
    <row r="653" spans="1:19" s="75" customFormat="1" ht="14.6">
      <c r="A653" s="90"/>
      <c r="B653" s="90"/>
      <c r="D653" s="91"/>
      <c r="E653" s="77"/>
      <c r="M653" s="133"/>
      <c r="N653" s="135"/>
      <c r="O653" s="133"/>
      <c r="P653" s="136"/>
      <c r="Q653" s="134"/>
      <c r="R653" s="134"/>
      <c r="S653" s="134"/>
    </row>
    <row r="654" spans="1:19" s="75" customFormat="1" ht="14.6">
      <c r="A654" s="90"/>
      <c r="B654" s="90"/>
      <c r="D654" s="91"/>
      <c r="E654" s="77"/>
      <c r="M654" s="133"/>
      <c r="N654" s="135"/>
      <c r="O654" s="133"/>
      <c r="P654" s="136"/>
      <c r="Q654" s="134"/>
      <c r="R654" s="134"/>
      <c r="S654" s="134"/>
    </row>
    <row r="655" spans="1:19" s="75" customFormat="1" ht="14.6">
      <c r="A655" s="90"/>
      <c r="B655" s="90"/>
      <c r="D655" s="91"/>
      <c r="E655" s="77"/>
      <c r="M655" s="133"/>
      <c r="N655" s="135"/>
      <c r="O655" s="133"/>
      <c r="P655" s="136"/>
      <c r="Q655" s="134"/>
      <c r="R655" s="134"/>
      <c r="S655" s="134"/>
    </row>
    <row r="656" spans="1:19" s="75" customFormat="1" ht="14.6">
      <c r="A656" s="90"/>
      <c r="B656" s="90"/>
      <c r="D656" s="91"/>
      <c r="E656" s="77"/>
      <c r="M656" s="133"/>
      <c r="N656" s="135"/>
      <c r="O656" s="133"/>
      <c r="P656" s="136"/>
      <c r="Q656" s="134"/>
      <c r="R656" s="134"/>
      <c r="S656" s="134"/>
    </row>
    <row r="657" spans="1:19" s="75" customFormat="1" ht="14.6">
      <c r="A657" s="90"/>
      <c r="B657" s="90"/>
      <c r="D657" s="91"/>
      <c r="E657" s="77"/>
      <c r="M657" s="133"/>
      <c r="N657" s="135"/>
      <c r="O657" s="133"/>
      <c r="P657" s="136"/>
      <c r="Q657" s="134"/>
      <c r="R657" s="134"/>
      <c r="S657" s="134"/>
    </row>
    <row r="658" spans="1:19" s="75" customFormat="1" ht="14.6">
      <c r="A658" s="90"/>
      <c r="B658" s="90"/>
      <c r="D658" s="91"/>
      <c r="E658" s="77"/>
      <c r="M658" s="133"/>
      <c r="N658" s="135"/>
      <c r="O658" s="133"/>
      <c r="P658" s="136"/>
      <c r="Q658" s="134"/>
      <c r="R658" s="134"/>
      <c r="S658" s="134"/>
    </row>
    <row r="659" spans="1:19" s="75" customFormat="1" ht="14.6">
      <c r="A659" s="90"/>
      <c r="B659" s="90"/>
      <c r="D659" s="91"/>
      <c r="E659" s="77"/>
      <c r="M659" s="133"/>
      <c r="N659" s="135"/>
      <c r="O659" s="133"/>
      <c r="P659" s="136"/>
      <c r="Q659" s="134"/>
      <c r="R659" s="134"/>
      <c r="S659" s="134"/>
    </row>
    <row r="660" spans="1:19" s="75" customFormat="1" ht="14.6">
      <c r="A660" s="90"/>
      <c r="B660" s="90"/>
      <c r="D660" s="91"/>
      <c r="E660" s="77"/>
      <c r="M660" s="133"/>
      <c r="N660" s="135"/>
      <c r="O660" s="133"/>
      <c r="P660" s="136"/>
      <c r="Q660" s="134"/>
      <c r="R660" s="134"/>
      <c r="S660" s="134"/>
    </row>
    <row r="661" spans="1:19" s="75" customFormat="1" ht="14.6">
      <c r="A661" s="90"/>
      <c r="B661" s="90"/>
      <c r="D661" s="91"/>
      <c r="E661" s="77"/>
      <c r="M661" s="133"/>
      <c r="N661" s="135"/>
      <c r="O661" s="133"/>
      <c r="P661" s="136"/>
      <c r="Q661" s="134"/>
      <c r="R661" s="134"/>
      <c r="S661" s="134"/>
    </row>
    <row r="662" spans="1:19" s="75" customFormat="1" ht="14.6">
      <c r="A662" s="90"/>
      <c r="B662" s="90"/>
      <c r="D662" s="91"/>
      <c r="E662" s="77"/>
      <c r="M662" s="133"/>
      <c r="N662" s="135"/>
      <c r="O662" s="133"/>
      <c r="P662" s="136"/>
      <c r="Q662" s="134"/>
      <c r="R662" s="134"/>
      <c r="S662" s="134"/>
    </row>
    <row r="663" spans="1:19" s="75" customFormat="1" ht="14.6">
      <c r="A663" s="90"/>
      <c r="B663" s="90"/>
      <c r="D663" s="91"/>
      <c r="E663" s="77"/>
      <c r="M663" s="133"/>
      <c r="N663" s="135"/>
      <c r="O663" s="133"/>
      <c r="P663" s="136"/>
      <c r="Q663" s="134"/>
      <c r="R663" s="134"/>
      <c r="S663" s="134"/>
    </row>
    <row r="664" spans="1:19" s="75" customFormat="1" ht="14.6">
      <c r="A664" s="90"/>
      <c r="B664" s="90"/>
      <c r="D664" s="91"/>
      <c r="E664" s="77"/>
      <c r="M664" s="133"/>
      <c r="N664" s="135"/>
      <c r="O664" s="133"/>
      <c r="P664" s="136"/>
      <c r="Q664" s="134"/>
      <c r="R664" s="134"/>
      <c r="S664" s="134"/>
    </row>
    <row r="665" spans="1:19" s="75" customFormat="1" ht="14.6">
      <c r="A665" s="90"/>
      <c r="B665" s="90"/>
      <c r="D665" s="91"/>
      <c r="E665" s="77"/>
      <c r="M665" s="133"/>
      <c r="N665" s="135"/>
      <c r="O665" s="133"/>
      <c r="P665" s="136"/>
      <c r="Q665" s="134"/>
      <c r="R665" s="134"/>
      <c r="S665" s="134"/>
    </row>
    <row r="666" spans="1:19" s="75" customFormat="1" ht="14.6">
      <c r="A666" s="90"/>
      <c r="B666" s="90"/>
      <c r="D666" s="91"/>
      <c r="E666" s="77"/>
      <c r="M666" s="133"/>
      <c r="N666" s="135"/>
      <c r="O666" s="133"/>
      <c r="P666" s="136"/>
      <c r="Q666" s="134"/>
      <c r="R666" s="134"/>
      <c r="S666" s="134"/>
    </row>
    <row r="667" spans="1:19" s="75" customFormat="1" ht="14.6">
      <c r="A667" s="90"/>
      <c r="B667" s="90"/>
      <c r="D667" s="91"/>
      <c r="E667" s="77"/>
      <c r="M667" s="133"/>
      <c r="N667" s="135"/>
      <c r="O667" s="133"/>
      <c r="P667" s="136"/>
      <c r="Q667" s="134"/>
      <c r="R667" s="134"/>
      <c r="S667" s="134"/>
    </row>
    <row r="668" spans="1:19" s="75" customFormat="1" ht="14.6">
      <c r="A668" s="90"/>
      <c r="B668" s="90"/>
      <c r="D668" s="91"/>
      <c r="E668" s="77"/>
      <c r="M668" s="133"/>
      <c r="N668" s="135"/>
      <c r="O668" s="133"/>
      <c r="P668" s="136"/>
      <c r="Q668" s="134"/>
      <c r="R668" s="134"/>
      <c r="S668" s="134"/>
    </row>
    <row r="669" spans="1:19" s="75" customFormat="1" ht="14.6">
      <c r="A669" s="90"/>
      <c r="B669" s="90"/>
      <c r="D669" s="91"/>
      <c r="E669" s="77"/>
      <c r="M669" s="133"/>
      <c r="N669" s="135"/>
      <c r="O669" s="133"/>
      <c r="P669" s="136"/>
      <c r="Q669" s="134"/>
      <c r="R669" s="134"/>
      <c r="S669" s="134"/>
    </row>
    <row r="670" spans="1:19" s="75" customFormat="1" ht="14.6">
      <c r="A670" s="90"/>
      <c r="B670" s="90"/>
      <c r="D670" s="91"/>
      <c r="E670" s="77"/>
      <c r="M670" s="133"/>
      <c r="N670" s="135"/>
      <c r="O670" s="133"/>
      <c r="P670" s="136"/>
      <c r="Q670" s="134"/>
      <c r="R670" s="134"/>
      <c r="S670" s="134"/>
    </row>
    <row r="671" spans="1:19" s="75" customFormat="1" ht="14.6">
      <c r="A671" s="90"/>
      <c r="B671" s="90"/>
      <c r="D671" s="91"/>
      <c r="E671" s="77"/>
      <c r="M671" s="133"/>
      <c r="N671" s="135"/>
      <c r="O671" s="133"/>
      <c r="P671" s="136"/>
      <c r="Q671" s="134"/>
      <c r="R671" s="134"/>
      <c r="S671" s="134"/>
    </row>
    <row r="672" spans="1:19" s="75" customFormat="1" ht="14.6">
      <c r="A672" s="90"/>
      <c r="B672" s="90"/>
      <c r="D672" s="91"/>
      <c r="E672" s="77"/>
      <c r="M672" s="133"/>
      <c r="N672" s="135"/>
      <c r="O672" s="133"/>
      <c r="P672" s="136"/>
      <c r="Q672" s="134"/>
      <c r="R672" s="134"/>
      <c r="S672" s="134"/>
    </row>
    <row r="673" spans="1:19" s="75" customFormat="1" ht="14.6">
      <c r="A673" s="90"/>
      <c r="B673" s="90"/>
      <c r="D673" s="91"/>
      <c r="E673" s="77"/>
      <c r="M673" s="133"/>
      <c r="N673" s="135"/>
      <c r="O673" s="133"/>
      <c r="P673" s="136"/>
      <c r="Q673" s="134"/>
      <c r="R673" s="134"/>
      <c r="S673" s="134"/>
    </row>
    <row r="674" spans="1:19" s="75" customFormat="1" ht="14.6">
      <c r="A674" s="90"/>
      <c r="B674" s="90"/>
      <c r="D674" s="91"/>
      <c r="E674" s="77"/>
      <c r="M674" s="133"/>
      <c r="N674" s="135"/>
      <c r="O674" s="133"/>
      <c r="P674" s="136"/>
      <c r="Q674" s="134"/>
      <c r="R674" s="134"/>
      <c r="S674" s="134"/>
    </row>
    <row r="675" spans="1:19" s="75" customFormat="1" ht="14.6">
      <c r="A675" s="90"/>
      <c r="B675" s="90"/>
      <c r="D675" s="91"/>
      <c r="E675" s="77"/>
      <c r="M675" s="133"/>
      <c r="N675" s="135"/>
      <c r="O675" s="133"/>
      <c r="P675" s="136"/>
      <c r="Q675" s="134"/>
      <c r="R675" s="134"/>
      <c r="S675" s="134"/>
    </row>
    <row r="676" spans="1:19" s="75" customFormat="1" ht="14.6">
      <c r="A676" s="90"/>
      <c r="B676" s="90"/>
      <c r="D676" s="91"/>
      <c r="E676" s="77"/>
      <c r="M676" s="133"/>
      <c r="N676" s="135"/>
      <c r="O676" s="133"/>
      <c r="P676" s="136"/>
      <c r="Q676" s="134"/>
      <c r="R676" s="134"/>
      <c r="S676" s="134"/>
    </row>
    <row r="677" spans="1:19" s="75" customFormat="1" ht="14.6">
      <c r="A677" s="90"/>
      <c r="B677" s="90"/>
      <c r="D677" s="91"/>
      <c r="E677" s="77"/>
      <c r="M677" s="133"/>
      <c r="N677" s="135"/>
      <c r="O677" s="133"/>
      <c r="P677" s="136"/>
      <c r="Q677" s="134"/>
      <c r="R677" s="134"/>
      <c r="S677" s="134"/>
    </row>
    <row r="678" spans="1:19" s="75" customFormat="1" ht="14.6">
      <c r="A678" s="90"/>
      <c r="B678" s="90"/>
      <c r="D678" s="91"/>
      <c r="E678" s="77"/>
      <c r="M678" s="133"/>
      <c r="N678" s="135"/>
      <c r="O678" s="133"/>
      <c r="P678" s="136"/>
      <c r="Q678" s="134"/>
      <c r="R678" s="134"/>
      <c r="S678" s="134"/>
    </row>
    <row r="679" spans="1:19" s="75" customFormat="1" ht="14.6">
      <c r="A679" s="90"/>
      <c r="B679" s="90"/>
      <c r="D679" s="91"/>
      <c r="E679" s="77"/>
      <c r="M679" s="133"/>
      <c r="N679" s="135"/>
      <c r="O679" s="133"/>
      <c r="P679" s="136"/>
      <c r="Q679" s="134"/>
      <c r="R679" s="134"/>
      <c r="S679" s="134"/>
    </row>
    <row r="680" spans="1:19" s="75" customFormat="1" ht="14.6">
      <c r="A680" s="90"/>
      <c r="B680" s="90"/>
      <c r="D680" s="91"/>
      <c r="E680" s="77"/>
      <c r="M680" s="133"/>
      <c r="N680" s="135"/>
      <c r="O680" s="133"/>
      <c r="P680" s="136"/>
      <c r="Q680" s="134"/>
      <c r="R680" s="134"/>
      <c r="S680" s="134"/>
    </row>
    <row r="681" spans="1:19" s="75" customFormat="1" ht="14.6">
      <c r="A681" s="90"/>
      <c r="B681" s="90"/>
      <c r="D681" s="91"/>
      <c r="E681" s="77"/>
      <c r="M681" s="133"/>
      <c r="N681" s="135"/>
      <c r="O681" s="133"/>
      <c r="P681" s="136"/>
      <c r="Q681" s="134"/>
      <c r="R681" s="134"/>
      <c r="S681" s="134"/>
    </row>
    <row r="682" spans="1:19" s="75" customFormat="1" ht="14.6">
      <c r="A682" s="90"/>
      <c r="B682" s="90"/>
      <c r="D682" s="91"/>
      <c r="E682" s="77"/>
      <c r="M682" s="133"/>
      <c r="N682" s="135"/>
      <c r="O682" s="133"/>
      <c r="P682" s="136"/>
      <c r="Q682" s="134"/>
      <c r="R682" s="134"/>
      <c r="S682" s="134"/>
    </row>
    <row r="683" spans="1:19" s="75" customFormat="1" ht="14.6">
      <c r="A683" s="90"/>
      <c r="B683" s="90"/>
      <c r="D683" s="91"/>
      <c r="E683" s="77"/>
      <c r="M683" s="133"/>
      <c r="N683" s="135"/>
      <c r="O683" s="133"/>
      <c r="P683" s="136"/>
      <c r="Q683" s="134"/>
      <c r="R683" s="134"/>
      <c r="S683" s="134"/>
    </row>
    <row r="684" spans="1:19" s="75" customFormat="1" ht="14.6">
      <c r="A684" s="90"/>
      <c r="B684" s="90"/>
      <c r="D684" s="91"/>
      <c r="E684" s="77"/>
      <c r="M684" s="133"/>
      <c r="N684" s="135"/>
      <c r="O684" s="133"/>
      <c r="P684" s="136"/>
      <c r="Q684" s="134"/>
      <c r="R684" s="134"/>
      <c r="S684" s="134"/>
    </row>
    <row r="685" spans="1:19" s="75" customFormat="1" ht="14.6">
      <c r="A685" s="90"/>
      <c r="B685" s="90"/>
      <c r="D685" s="91"/>
      <c r="E685" s="77"/>
      <c r="M685" s="133"/>
      <c r="N685" s="135"/>
      <c r="O685" s="133"/>
      <c r="P685" s="136"/>
      <c r="Q685" s="134"/>
      <c r="R685" s="134"/>
      <c r="S685" s="134"/>
    </row>
    <row r="686" spans="1:19" s="75" customFormat="1" ht="14.6">
      <c r="A686" s="90"/>
      <c r="B686" s="90"/>
      <c r="D686" s="91"/>
      <c r="E686" s="77"/>
      <c r="M686" s="133"/>
      <c r="N686" s="135"/>
      <c r="O686" s="133"/>
      <c r="P686" s="136"/>
      <c r="Q686" s="134"/>
      <c r="R686" s="134"/>
      <c r="S686" s="134"/>
    </row>
    <row r="687" spans="1:19" s="75" customFormat="1" ht="14.6">
      <c r="A687" s="90"/>
      <c r="B687" s="90"/>
      <c r="D687" s="91"/>
      <c r="E687" s="77"/>
      <c r="M687" s="133"/>
      <c r="N687" s="135"/>
      <c r="O687" s="133"/>
      <c r="P687" s="136"/>
      <c r="Q687" s="134"/>
      <c r="R687" s="134"/>
      <c r="S687" s="134"/>
    </row>
    <row r="688" spans="1:19" s="75" customFormat="1" ht="14.6">
      <c r="A688" s="90"/>
      <c r="B688" s="90"/>
      <c r="D688" s="91"/>
      <c r="E688" s="77"/>
      <c r="M688" s="133"/>
      <c r="N688" s="135"/>
      <c r="O688" s="133"/>
      <c r="P688" s="136"/>
      <c r="Q688" s="134"/>
      <c r="R688" s="134"/>
      <c r="S688" s="134"/>
    </row>
    <row r="689" spans="1:19" s="75" customFormat="1" ht="14.6">
      <c r="A689" s="90"/>
      <c r="B689" s="90"/>
      <c r="D689" s="91"/>
      <c r="E689" s="77"/>
      <c r="M689" s="133"/>
      <c r="N689" s="135"/>
      <c r="O689" s="133"/>
      <c r="P689" s="136"/>
      <c r="Q689" s="134"/>
      <c r="R689" s="134"/>
      <c r="S689" s="134"/>
    </row>
    <row r="690" spans="1:19" s="75" customFormat="1" ht="14.6">
      <c r="A690" s="90"/>
      <c r="B690" s="90"/>
      <c r="D690" s="91"/>
      <c r="E690" s="77"/>
      <c r="M690" s="133"/>
      <c r="N690" s="135"/>
      <c r="O690" s="133"/>
      <c r="P690" s="136"/>
      <c r="Q690" s="134"/>
      <c r="R690" s="134"/>
      <c r="S690" s="134"/>
    </row>
    <row r="691" spans="1:19" s="75" customFormat="1" ht="14.6">
      <c r="A691" s="90"/>
      <c r="B691" s="90"/>
      <c r="D691" s="91"/>
      <c r="E691" s="77"/>
      <c r="M691" s="133"/>
      <c r="N691" s="135"/>
      <c r="O691" s="133"/>
      <c r="P691" s="136"/>
      <c r="Q691" s="134"/>
      <c r="R691" s="134"/>
      <c r="S691" s="134"/>
    </row>
    <row r="692" spans="1:19" s="75" customFormat="1" ht="14.6">
      <c r="A692" s="90"/>
      <c r="B692" s="90"/>
      <c r="D692" s="91"/>
      <c r="E692" s="77"/>
      <c r="M692" s="133"/>
      <c r="N692" s="135"/>
      <c r="O692" s="133"/>
      <c r="P692" s="136"/>
      <c r="Q692" s="134"/>
      <c r="R692" s="134"/>
      <c r="S692" s="134"/>
    </row>
    <row r="693" spans="1:19" s="75" customFormat="1" ht="14.6">
      <c r="A693" s="90"/>
      <c r="B693" s="90"/>
      <c r="D693" s="91"/>
      <c r="E693" s="77"/>
      <c r="M693" s="133"/>
      <c r="N693" s="135"/>
      <c r="O693" s="133"/>
      <c r="P693" s="136"/>
      <c r="Q693" s="134"/>
      <c r="R693" s="134"/>
      <c r="S693" s="134"/>
    </row>
    <row r="694" spans="1:19" s="75" customFormat="1" ht="14.6">
      <c r="A694" s="90"/>
      <c r="B694" s="90"/>
      <c r="D694" s="91"/>
      <c r="E694" s="77"/>
      <c r="M694" s="133"/>
      <c r="N694" s="135"/>
      <c r="O694" s="133"/>
      <c r="P694" s="136"/>
      <c r="Q694" s="134"/>
      <c r="R694" s="134"/>
      <c r="S694" s="134"/>
    </row>
    <row r="695" spans="1:19" s="75" customFormat="1" ht="14.6">
      <c r="A695" s="90"/>
      <c r="B695" s="90"/>
      <c r="D695" s="91"/>
      <c r="E695" s="77"/>
      <c r="M695" s="133"/>
      <c r="N695" s="135"/>
      <c r="O695" s="133"/>
      <c r="P695" s="136"/>
      <c r="Q695" s="134"/>
      <c r="R695" s="134"/>
      <c r="S695" s="134"/>
    </row>
    <row r="696" spans="1:19" s="75" customFormat="1" ht="14.6">
      <c r="A696" s="90"/>
      <c r="B696" s="90"/>
      <c r="D696" s="91"/>
      <c r="E696" s="77"/>
      <c r="M696" s="133"/>
      <c r="N696" s="135"/>
      <c r="O696" s="133"/>
      <c r="P696" s="136"/>
      <c r="Q696" s="134"/>
      <c r="R696" s="134"/>
      <c r="S696" s="134"/>
    </row>
    <row r="697" spans="1:19" s="75" customFormat="1" ht="14.6">
      <c r="A697" s="90"/>
      <c r="B697" s="90"/>
      <c r="D697" s="91"/>
      <c r="E697" s="77"/>
      <c r="M697" s="133"/>
      <c r="N697" s="135"/>
      <c r="O697" s="133"/>
      <c r="P697" s="136"/>
      <c r="Q697" s="134"/>
      <c r="R697" s="134"/>
      <c r="S697" s="134"/>
    </row>
    <row r="698" spans="1:19" s="75" customFormat="1" ht="14.6">
      <c r="A698" s="90"/>
      <c r="B698" s="90"/>
      <c r="D698" s="91"/>
      <c r="E698" s="77"/>
      <c r="M698" s="133"/>
      <c r="N698" s="135"/>
      <c r="O698" s="133"/>
      <c r="P698" s="136"/>
      <c r="Q698" s="134"/>
      <c r="R698" s="134"/>
      <c r="S698" s="134"/>
    </row>
    <row r="699" spans="1:19" s="75" customFormat="1" ht="14.6">
      <c r="A699" s="90"/>
      <c r="B699" s="90"/>
      <c r="D699" s="91"/>
      <c r="E699" s="77"/>
      <c r="M699" s="133"/>
      <c r="N699" s="135"/>
      <c r="O699" s="133"/>
      <c r="P699" s="136"/>
      <c r="Q699" s="134"/>
      <c r="R699" s="134"/>
      <c r="S699" s="134"/>
    </row>
    <row r="700" spans="1:19" s="75" customFormat="1" ht="14.6">
      <c r="A700" s="90"/>
      <c r="B700" s="90"/>
      <c r="D700" s="91"/>
      <c r="E700" s="77"/>
      <c r="M700" s="133"/>
      <c r="N700" s="135"/>
      <c r="O700" s="133"/>
      <c r="P700" s="136"/>
      <c r="Q700" s="134"/>
      <c r="R700" s="134"/>
      <c r="S700" s="134"/>
    </row>
    <row r="701" spans="1:19" s="75" customFormat="1" ht="14.6">
      <c r="A701" s="90"/>
      <c r="B701" s="90"/>
      <c r="D701" s="91"/>
      <c r="E701" s="77"/>
      <c r="M701" s="133"/>
      <c r="N701" s="135"/>
      <c r="O701" s="133"/>
      <c r="P701" s="136"/>
      <c r="Q701" s="134"/>
      <c r="R701" s="134"/>
      <c r="S701" s="134"/>
    </row>
    <row r="702" spans="1:19" s="75" customFormat="1" ht="14.6">
      <c r="A702" s="90"/>
      <c r="B702" s="90"/>
      <c r="D702" s="91"/>
      <c r="E702" s="77"/>
      <c r="M702" s="133"/>
      <c r="N702" s="135"/>
      <c r="O702" s="133"/>
      <c r="P702" s="136"/>
      <c r="Q702" s="134"/>
      <c r="R702" s="134"/>
      <c r="S702" s="134"/>
    </row>
    <row r="703" spans="1:19" s="75" customFormat="1" ht="14.6">
      <c r="A703" s="90"/>
      <c r="B703" s="90"/>
      <c r="D703" s="91"/>
      <c r="E703" s="77"/>
      <c r="M703" s="133"/>
      <c r="N703" s="135"/>
      <c r="O703" s="133"/>
      <c r="P703" s="136"/>
      <c r="Q703" s="134"/>
      <c r="R703" s="134"/>
      <c r="S703" s="134"/>
    </row>
    <row r="704" spans="1:19" s="75" customFormat="1" ht="14.6">
      <c r="A704" s="90"/>
      <c r="B704" s="90"/>
      <c r="D704" s="91"/>
      <c r="E704" s="77"/>
      <c r="M704" s="133"/>
      <c r="N704" s="135"/>
      <c r="O704" s="133"/>
      <c r="P704" s="136"/>
      <c r="Q704" s="134"/>
      <c r="R704" s="134"/>
      <c r="S704" s="134"/>
    </row>
    <row r="705" spans="1:19" s="75" customFormat="1" ht="14.6">
      <c r="A705" s="90"/>
      <c r="B705" s="90"/>
      <c r="D705" s="91"/>
      <c r="E705" s="77"/>
      <c r="M705" s="133"/>
      <c r="N705" s="135"/>
      <c r="O705" s="133"/>
      <c r="P705" s="136"/>
      <c r="Q705" s="134"/>
      <c r="R705" s="134"/>
      <c r="S705" s="134"/>
    </row>
    <row r="706" spans="1:19" s="75" customFormat="1" ht="14.6">
      <c r="A706" s="90"/>
      <c r="B706" s="90"/>
      <c r="D706" s="91"/>
      <c r="E706" s="77"/>
      <c r="M706" s="133"/>
      <c r="N706" s="135"/>
      <c r="O706" s="133"/>
      <c r="P706" s="136"/>
      <c r="Q706" s="134"/>
      <c r="R706" s="134"/>
      <c r="S706" s="134"/>
    </row>
    <row r="707" spans="1:19" s="75" customFormat="1" ht="14.6">
      <c r="A707" s="90"/>
      <c r="B707" s="90"/>
      <c r="D707" s="91"/>
      <c r="E707" s="77"/>
      <c r="M707" s="133"/>
      <c r="N707" s="135"/>
      <c r="O707" s="133"/>
      <c r="P707" s="136"/>
      <c r="Q707" s="134"/>
      <c r="R707" s="134"/>
      <c r="S707" s="134"/>
    </row>
    <row r="708" spans="1:19" s="75" customFormat="1" ht="14.6">
      <c r="A708" s="90"/>
      <c r="B708" s="90"/>
      <c r="D708" s="91"/>
      <c r="E708" s="77"/>
      <c r="M708" s="133"/>
      <c r="N708" s="135"/>
      <c r="O708" s="133"/>
      <c r="P708" s="136"/>
      <c r="Q708" s="134"/>
      <c r="R708" s="134"/>
      <c r="S708" s="134"/>
    </row>
    <row r="709" spans="1:19" s="75" customFormat="1" ht="14.6">
      <c r="A709" s="90"/>
      <c r="B709" s="90"/>
      <c r="D709" s="91"/>
      <c r="E709" s="77"/>
      <c r="M709" s="133"/>
      <c r="N709" s="135"/>
      <c r="O709" s="133"/>
      <c r="P709" s="136"/>
      <c r="Q709" s="134"/>
      <c r="R709" s="134"/>
      <c r="S709" s="134"/>
    </row>
    <row r="710" spans="1:19" s="75" customFormat="1" ht="14.6">
      <c r="A710" s="90"/>
      <c r="B710" s="90"/>
      <c r="D710" s="91"/>
      <c r="E710" s="77"/>
      <c r="M710" s="133"/>
      <c r="N710" s="135"/>
      <c r="O710" s="133"/>
      <c r="P710" s="136"/>
      <c r="Q710" s="134"/>
      <c r="R710" s="134"/>
      <c r="S710" s="134"/>
    </row>
    <row r="711" spans="1:19" s="75" customFormat="1" ht="14.6">
      <c r="A711" s="90"/>
      <c r="B711" s="90"/>
      <c r="D711" s="91"/>
      <c r="E711" s="77"/>
      <c r="M711" s="133"/>
      <c r="N711" s="135"/>
      <c r="O711" s="133"/>
      <c r="P711" s="136"/>
      <c r="Q711" s="134"/>
      <c r="R711" s="134"/>
      <c r="S711" s="134"/>
    </row>
    <row r="712" spans="1:19" s="75" customFormat="1" ht="14.6">
      <c r="A712" s="90"/>
      <c r="B712" s="90"/>
      <c r="D712" s="91"/>
      <c r="E712" s="77"/>
      <c r="M712" s="133"/>
      <c r="N712" s="135"/>
      <c r="O712" s="133"/>
      <c r="P712" s="136"/>
      <c r="Q712" s="134"/>
      <c r="R712" s="134"/>
      <c r="S712" s="134"/>
    </row>
    <row r="713" spans="1:19" s="75" customFormat="1" ht="14.6">
      <c r="A713" s="90"/>
      <c r="B713" s="90"/>
      <c r="D713" s="91"/>
      <c r="E713" s="77"/>
      <c r="M713" s="133"/>
      <c r="N713" s="135"/>
      <c r="O713" s="133"/>
      <c r="P713" s="136"/>
      <c r="Q713" s="134"/>
      <c r="R713" s="134"/>
      <c r="S713" s="134"/>
    </row>
    <row r="714" spans="1:19" s="75" customFormat="1" ht="14.6">
      <c r="A714" s="90"/>
      <c r="B714" s="90"/>
      <c r="D714" s="91"/>
      <c r="E714" s="77"/>
      <c r="M714" s="133"/>
      <c r="N714" s="135"/>
      <c r="O714" s="133"/>
      <c r="P714" s="136"/>
      <c r="Q714" s="134"/>
      <c r="R714" s="134"/>
      <c r="S714" s="134"/>
    </row>
    <row r="715" spans="1:19" s="75" customFormat="1" ht="14.6">
      <c r="A715" s="90"/>
      <c r="B715" s="90"/>
      <c r="D715" s="91"/>
      <c r="E715" s="77"/>
      <c r="M715" s="133"/>
      <c r="N715" s="135"/>
      <c r="O715" s="133"/>
      <c r="P715" s="136"/>
      <c r="Q715" s="134"/>
      <c r="R715" s="134"/>
      <c r="S715" s="134"/>
    </row>
    <row r="716" spans="1:19" s="75" customFormat="1" ht="14.6">
      <c r="A716" s="90"/>
      <c r="B716" s="90"/>
      <c r="D716" s="91"/>
      <c r="E716" s="77"/>
      <c r="M716" s="133"/>
      <c r="N716" s="135"/>
      <c r="O716" s="133"/>
      <c r="P716" s="136"/>
      <c r="Q716" s="134"/>
      <c r="R716" s="134"/>
      <c r="S716" s="134"/>
    </row>
    <row r="717" spans="1:19" s="75" customFormat="1" ht="14.6">
      <c r="A717" s="90"/>
      <c r="B717" s="90"/>
      <c r="D717" s="91"/>
      <c r="E717" s="77"/>
      <c r="M717" s="133"/>
      <c r="N717" s="135"/>
      <c r="O717" s="133"/>
      <c r="P717" s="136"/>
      <c r="Q717" s="134"/>
      <c r="R717" s="134"/>
      <c r="S717" s="134"/>
    </row>
    <row r="718" spans="1:19" s="75" customFormat="1" ht="14.6">
      <c r="A718" s="90"/>
      <c r="B718" s="90"/>
      <c r="D718" s="91"/>
      <c r="E718" s="77"/>
      <c r="M718" s="133"/>
      <c r="N718" s="135"/>
      <c r="O718" s="133"/>
      <c r="P718" s="136"/>
      <c r="Q718" s="134"/>
      <c r="R718" s="134"/>
      <c r="S718" s="134"/>
    </row>
    <row r="719" spans="1:19" s="75" customFormat="1" ht="14.6">
      <c r="A719" s="90"/>
      <c r="B719" s="90"/>
      <c r="D719" s="91"/>
      <c r="E719" s="77"/>
      <c r="M719" s="133"/>
      <c r="N719" s="135"/>
      <c r="O719" s="133"/>
      <c r="P719" s="136"/>
      <c r="Q719" s="134"/>
      <c r="R719" s="134"/>
      <c r="S719" s="134"/>
    </row>
    <row r="720" spans="1:19" s="75" customFormat="1" ht="14.6">
      <c r="A720" s="90"/>
      <c r="B720" s="90"/>
      <c r="D720" s="91"/>
      <c r="E720" s="77"/>
      <c r="M720" s="133"/>
      <c r="N720" s="135"/>
      <c r="O720" s="133"/>
      <c r="P720" s="136"/>
      <c r="Q720" s="134"/>
      <c r="R720" s="134"/>
      <c r="S720" s="134"/>
    </row>
    <row r="721" spans="1:19" s="75" customFormat="1" ht="14.6">
      <c r="A721" s="90"/>
      <c r="B721" s="90"/>
      <c r="D721" s="91"/>
      <c r="E721" s="77"/>
      <c r="M721" s="133"/>
      <c r="N721" s="135"/>
      <c r="O721" s="133"/>
      <c r="P721" s="136"/>
      <c r="Q721" s="134"/>
      <c r="R721" s="134"/>
      <c r="S721" s="134"/>
    </row>
    <row r="722" spans="1:19" s="75" customFormat="1" ht="14.6">
      <c r="A722" s="90"/>
      <c r="B722" s="90"/>
      <c r="D722" s="91"/>
      <c r="E722" s="77"/>
      <c r="M722" s="133"/>
      <c r="N722" s="135"/>
      <c r="O722" s="133"/>
      <c r="P722" s="136"/>
      <c r="Q722" s="134"/>
      <c r="R722" s="134"/>
      <c r="S722" s="134"/>
    </row>
    <row r="723" spans="1:19" s="75" customFormat="1" ht="14.6">
      <c r="A723" s="90"/>
      <c r="B723" s="90"/>
      <c r="D723" s="91"/>
      <c r="E723" s="77"/>
      <c r="M723" s="133"/>
      <c r="N723" s="135"/>
      <c r="O723" s="133"/>
      <c r="P723" s="136"/>
      <c r="Q723" s="134"/>
      <c r="R723" s="134"/>
      <c r="S723" s="134"/>
    </row>
    <row r="724" spans="1:19" s="75" customFormat="1" ht="14.6">
      <c r="A724" s="90"/>
      <c r="B724" s="90"/>
      <c r="D724" s="91"/>
      <c r="E724" s="77"/>
      <c r="M724" s="133"/>
      <c r="N724" s="135"/>
      <c r="O724" s="133"/>
      <c r="P724" s="136"/>
      <c r="Q724" s="134"/>
      <c r="R724" s="134"/>
      <c r="S724" s="134"/>
    </row>
    <row r="725" spans="1:19" s="75" customFormat="1" ht="14.6">
      <c r="A725" s="90"/>
      <c r="B725" s="90"/>
      <c r="D725" s="91"/>
      <c r="E725" s="77"/>
      <c r="M725" s="133"/>
      <c r="N725" s="135"/>
      <c r="O725" s="133"/>
      <c r="P725" s="136"/>
      <c r="Q725" s="134"/>
      <c r="R725" s="134"/>
      <c r="S725" s="134"/>
    </row>
    <row r="726" spans="1:19" s="75" customFormat="1" ht="14.6">
      <c r="A726" s="90"/>
      <c r="B726" s="90"/>
      <c r="D726" s="91"/>
      <c r="E726" s="77"/>
      <c r="M726" s="133"/>
      <c r="N726" s="135"/>
      <c r="O726" s="133"/>
      <c r="P726" s="136"/>
      <c r="Q726" s="134"/>
      <c r="R726" s="134"/>
      <c r="S726" s="134"/>
    </row>
    <row r="727" spans="1:19" s="75" customFormat="1" ht="14.6">
      <c r="A727" s="90"/>
      <c r="B727" s="90"/>
      <c r="D727" s="91"/>
      <c r="E727" s="77"/>
      <c r="M727" s="133"/>
      <c r="N727" s="135"/>
      <c r="O727" s="133"/>
      <c r="P727" s="136"/>
      <c r="Q727" s="134"/>
      <c r="R727" s="134"/>
      <c r="S727" s="134"/>
    </row>
    <row r="728" spans="1:19" s="75" customFormat="1" ht="14.6">
      <c r="A728" s="90"/>
      <c r="B728" s="90"/>
      <c r="D728" s="91"/>
      <c r="E728" s="77"/>
      <c r="M728" s="133"/>
      <c r="N728" s="135"/>
      <c r="O728" s="133"/>
      <c r="P728" s="136"/>
      <c r="Q728" s="134"/>
      <c r="R728" s="134"/>
      <c r="S728" s="134"/>
    </row>
    <row r="729" spans="1:19" s="75" customFormat="1" ht="14.6">
      <c r="A729" s="90"/>
      <c r="B729" s="90"/>
      <c r="D729" s="91"/>
      <c r="E729" s="77"/>
      <c r="M729" s="133"/>
      <c r="N729" s="135"/>
      <c r="O729" s="133"/>
      <c r="P729" s="136"/>
      <c r="Q729" s="134"/>
      <c r="R729" s="134"/>
      <c r="S729" s="134"/>
    </row>
    <row r="730" spans="1:19" s="75" customFormat="1" ht="14.6">
      <c r="A730" s="90"/>
      <c r="B730" s="90"/>
      <c r="D730" s="91"/>
      <c r="E730" s="77"/>
      <c r="M730" s="133"/>
      <c r="N730" s="135"/>
      <c r="O730" s="133"/>
      <c r="P730" s="136"/>
      <c r="Q730" s="134"/>
      <c r="R730" s="134"/>
      <c r="S730" s="134"/>
    </row>
    <row r="731" spans="1:19" s="75" customFormat="1" ht="14.6">
      <c r="A731" s="90"/>
      <c r="B731" s="90"/>
      <c r="D731" s="91"/>
      <c r="E731" s="77"/>
      <c r="M731" s="133"/>
      <c r="N731" s="135"/>
      <c r="O731" s="133"/>
      <c r="P731" s="136"/>
      <c r="Q731" s="134"/>
      <c r="R731" s="134"/>
      <c r="S731" s="134"/>
    </row>
    <row r="732" spans="1:19" s="75" customFormat="1" ht="14.6">
      <c r="A732" s="90"/>
      <c r="B732" s="90"/>
      <c r="D732" s="91"/>
      <c r="E732" s="77"/>
      <c r="M732" s="133"/>
      <c r="N732" s="135"/>
      <c r="O732" s="133"/>
      <c r="P732" s="136"/>
      <c r="Q732" s="134"/>
      <c r="R732" s="134"/>
      <c r="S732" s="134"/>
    </row>
    <row r="733" spans="1:19" s="75" customFormat="1" ht="14.6">
      <c r="A733" s="90"/>
      <c r="B733" s="90"/>
      <c r="D733" s="91"/>
      <c r="E733" s="77"/>
      <c r="M733" s="133"/>
      <c r="N733" s="135"/>
      <c r="O733" s="133"/>
      <c r="P733" s="136"/>
      <c r="Q733" s="134"/>
      <c r="R733" s="134"/>
      <c r="S733" s="134"/>
    </row>
    <row r="734" spans="1:19" s="75" customFormat="1" ht="14.6">
      <c r="A734" s="90"/>
      <c r="B734" s="90"/>
      <c r="D734" s="91"/>
      <c r="E734" s="77"/>
      <c r="M734" s="133"/>
      <c r="N734" s="135"/>
      <c r="O734" s="133"/>
      <c r="P734" s="136"/>
      <c r="Q734" s="134"/>
      <c r="R734" s="134"/>
      <c r="S734" s="134"/>
    </row>
    <row r="735" spans="1:19" s="75" customFormat="1" ht="14.6">
      <c r="A735" s="90"/>
      <c r="B735" s="90"/>
      <c r="D735" s="91"/>
      <c r="E735" s="77"/>
      <c r="M735" s="133"/>
      <c r="N735" s="135"/>
      <c r="O735" s="133"/>
      <c r="P735" s="136"/>
      <c r="Q735" s="134"/>
      <c r="R735" s="134"/>
      <c r="S735" s="134"/>
    </row>
    <row r="736" spans="1:19" s="75" customFormat="1" ht="14.6">
      <c r="A736" s="90"/>
      <c r="B736" s="90"/>
      <c r="D736" s="91"/>
      <c r="E736" s="77"/>
      <c r="M736" s="133"/>
      <c r="N736" s="135"/>
      <c r="O736" s="133"/>
      <c r="P736" s="136"/>
      <c r="Q736" s="134"/>
      <c r="R736" s="134"/>
      <c r="S736" s="134"/>
    </row>
    <row r="737" spans="1:19" s="75" customFormat="1" ht="14.6">
      <c r="A737" s="90"/>
      <c r="B737" s="90"/>
      <c r="D737" s="91"/>
      <c r="E737" s="77"/>
      <c r="M737" s="133"/>
      <c r="N737" s="135"/>
      <c r="O737" s="133"/>
      <c r="P737" s="136"/>
      <c r="Q737" s="134"/>
      <c r="R737" s="134"/>
      <c r="S737" s="134"/>
    </row>
    <row r="738" spans="1:19" s="75" customFormat="1" ht="14.6">
      <c r="A738" s="90"/>
      <c r="B738" s="90"/>
      <c r="D738" s="91"/>
      <c r="E738" s="77"/>
      <c r="M738" s="133"/>
      <c r="N738" s="135"/>
      <c r="O738" s="133"/>
      <c r="P738" s="136"/>
      <c r="Q738" s="134"/>
      <c r="R738" s="134"/>
      <c r="S738" s="134"/>
    </row>
    <row r="739" spans="1:19" s="75" customFormat="1" ht="14.6">
      <c r="A739" s="90"/>
      <c r="B739" s="90"/>
      <c r="D739" s="91"/>
      <c r="E739" s="77"/>
      <c r="M739" s="133"/>
      <c r="N739" s="135"/>
      <c r="O739" s="133"/>
      <c r="P739" s="136"/>
      <c r="Q739" s="134"/>
      <c r="R739" s="134"/>
      <c r="S739" s="134"/>
    </row>
    <row r="740" spans="1:19" s="75" customFormat="1" ht="14.6">
      <c r="A740" s="90"/>
      <c r="B740" s="90"/>
      <c r="D740" s="91"/>
      <c r="E740" s="77"/>
      <c r="M740" s="133"/>
      <c r="N740" s="135"/>
      <c r="O740" s="133"/>
      <c r="P740" s="136"/>
      <c r="Q740" s="134"/>
      <c r="R740" s="134"/>
      <c r="S740" s="134"/>
    </row>
    <row r="741" spans="1:19" s="75" customFormat="1" ht="14.6">
      <c r="A741" s="90"/>
      <c r="B741" s="90"/>
      <c r="D741" s="91"/>
      <c r="E741" s="77"/>
      <c r="M741" s="133"/>
      <c r="N741" s="135"/>
      <c r="O741" s="133"/>
      <c r="P741" s="136"/>
      <c r="Q741" s="134"/>
      <c r="R741" s="134"/>
      <c r="S741" s="134"/>
    </row>
    <row r="742" spans="1:19" s="75" customFormat="1" ht="14.6">
      <c r="A742" s="90"/>
      <c r="B742" s="90"/>
      <c r="D742" s="91"/>
      <c r="E742" s="77"/>
      <c r="M742" s="133"/>
      <c r="N742" s="135"/>
      <c r="O742" s="133"/>
      <c r="P742" s="136"/>
      <c r="Q742" s="134"/>
      <c r="R742" s="134"/>
      <c r="S742" s="134"/>
    </row>
    <row r="743" spans="1:19" s="75" customFormat="1" ht="14.6">
      <c r="A743" s="90"/>
      <c r="B743" s="90"/>
      <c r="D743" s="91"/>
      <c r="E743" s="77"/>
      <c r="M743" s="133"/>
      <c r="N743" s="135"/>
      <c r="O743" s="133"/>
      <c r="P743" s="136"/>
      <c r="Q743" s="134"/>
      <c r="R743" s="134"/>
      <c r="S743" s="134"/>
    </row>
    <row r="744" spans="1:19" s="75" customFormat="1" ht="14.6">
      <c r="A744" s="90"/>
      <c r="B744" s="90"/>
      <c r="D744" s="91"/>
      <c r="E744" s="77"/>
      <c r="M744" s="133"/>
      <c r="N744" s="135"/>
      <c r="O744" s="133"/>
      <c r="P744" s="136"/>
      <c r="Q744" s="134"/>
      <c r="R744" s="134"/>
      <c r="S744" s="134"/>
    </row>
    <row r="745" spans="1:19" s="75" customFormat="1" ht="14.6">
      <c r="A745" s="90"/>
      <c r="B745" s="90"/>
      <c r="D745" s="91"/>
      <c r="E745" s="77"/>
      <c r="M745" s="133"/>
      <c r="N745" s="135"/>
      <c r="O745" s="133"/>
      <c r="P745" s="136"/>
      <c r="Q745" s="134"/>
      <c r="R745" s="134"/>
      <c r="S745" s="134"/>
    </row>
    <row r="746" spans="1:19" s="75" customFormat="1" ht="14.6">
      <c r="A746" s="90"/>
      <c r="B746" s="90"/>
      <c r="D746" s="91"/>
      <c r="E746" s="77"/>
      <c r="M746" s="133"/>
      <c r="N746" s="135"/>
      <c r="O746" s="133"/>
      <c r="P746" s="136"/>
      <c r="Q746" s="134"/>
      <c r="R746" s="134"/>
      <c r="S746" s="134"/>
    </row>
    <row r="747" spans="1:19" s="75" customFormat="1" ht="14.6">
      <c r="A747" s="90"/>
      <c r="B747" s="90"/>
      <c r="D747" s="91"/>
      <c r="E747" s="77"/>
      <c r="M747" s="133"/>
      <c r="N747" s="135"/>
      <c r="O747" s="133"/>
      <c r="P747" s="136"/>
      <c r="Q747" s="134"/>
      <c r="R747" s="134"/>
      <c r="S747" s="134"/>
    </row>
    <row r="748" spans="1:19" s="75" customFormat="1" ht="14.6">
      <c r="A748" s="90"/>
      <c r="B748" s="90"/>
      <c r="D748" s="91"/>
      <c r="E748" s="77"/>
      <c r="M748" s="133"/>
      <c r="N748" s="135"/>
      <c r="O748" s="133"/>
      <c r="P748" s="136"/>
      <c r="Q748" s="134"/>
      <c r="R748" s="134"/>
      <c r="S748" s="134"/>
    </row>
    <row r="749" spans="1:19" s="75" customFormat="1" ht="14.6">
      <c r="A749" s="90"/>
      <c r="B749" s="90"/>
      <c r="D749" s="91"/>
      <c r="E749" s="77"/>
      <c r="M749" s="133"/>
      <c r="N749" s="135"/>
      <c r="O749" s="133"/>
      <c r="P749" s="136"/>
      <c r="Q749" s="134"/>
      <c r="R749" s="134"/>
      <c r="S749" s="134"/>
    </row>
    <row r="750" spans="1:19" s="75" customFormat="1" ht="14.6">
      <c r="A750" s="90"/>
      <c r="B750" s="90"/>
      <c r="D750" s="91"/>
      <c r="E750" s="77"/>
      <c r="M750" s="133"/>
      <c r="N750" s="135"/>
      <c r="O750" s="133"/>
      <c r="P750" s="136"/>
      <c r="Q750" s="134"/>
      <c r="R750" s="134"/>
      <c r="S750" s="134"/>
    </row>
    <row r="751" spans="1:19" s="75" customFormat="1" ht="14.6">
      <c r="A751" s="90"/>
      <c r="B751" s="90"/>
      <c r="D751" s="91"/>
      <c r="E751" s="77"/>
      <c r="M751" s="133"/>
      <c r="N751" s="135"/>
      <c r="O751" s="133"/>
      <c r="P751" s="136"/>
      <c r="Q751" s="134"/>
      <c r="R751" s="134"/>
      <c r="S751" s="134"/>
    </row>
    <row r="752" spans="1:19" s="75" customFormat="1" ht="14.6">
      <c r="A752" s="90"/>
      <c r="B752" s="90"/>
      <c r="D752" s="91"/>
      <c r="E752" s="77"/>
      <c r="M752" s="133"/>
      <c r="N752" s="135"/>
      <c r="O752" s="133"/>
      <c r="P752" s="136"/>
      <c r="Q752" s="134"/>
      <c r="R752" s="134"/>
      <c r="S752" s="134"/>
    </row>
    <row r="753" spans="1:19" s="75" customFormat="1" ht="14.6">
      <c r="A753" s="90"/>
      <c r="B753" s="90"/>
      <c r="D753" s="91"/>
      <c r="E753" s="77"/>
      <c r="M753" s="133"/>
      <c r="N753" s="135"/>
      <c r="O753" s="133"/>
      <c r="P753" s="136"/>
      <c r="Q753" s="134"/>
      <c r="R753" s="134"/>
      <c r="S753" s="134"/>
    </row>
    <row r="754" spans="1:19" s="75" customFormat="1" ht="14.6">
      <c r="A754" s="90"/>
      <c r="B754" s="90"/>
      <c r="D754" s="91"/>
      <c r="E754" s="77"/>
      <c r="M754" s="133"/>
      <c r="N754" s="135"/>
      <c r="O754" s="133"/>
      <c r="P754" s="136"/>
      <c r="Q754" s="134"/>
      <c r="R754" s="134"/>
      <c r="S754" s="134"/>
    </row>
    <row r="755" spans="1:19" s="75" customFormat="1" ht="14.6">
      <c r="A755" s="90"/>
      <c r="B755" s="90"/>
      <c r="D755" s="91"/>
      <c r="E755" s="77"/>
      <c r="M755" s="133"/>
      <c r="N755" s="135"/>
      <c r="O755" s="133"/>
      <c r="P755" s="136"/>
      <c r="Q755" s="134"/>
      <c r="R755" s="134"/>
      <c r="S755" s="134"/>
    </row>
    <row r="756" spans="1:19" s="75" customFormat="1" ht="14.6">
      <c r="A756" s="90"/>
      <c r="B756" s="90"/>
      <c r="D756" s="91"/>
      <c r="E756" s="77"/>
      <c r="M756" s="133"/>
      <c r="N756" s="135"/>
      <c r="O756" s="133"/>
      <c r="P756" s="136"/>
      <c r="Q756" s="134"/>
      <c r="R756" s="134"/>
      <c r="S756" s="134"/>
    </row>
    <row r="757" spans="1:19" s="75" customFormat="1" ht="14.6">
      <c r="A757" s="90"/>
      <c r="B757" s="90"/>
      <c r="D757" s="91"/>
      <c r="E757" s="77"/>
      <c r="M757" s="133"/>
      <c r="N757" s="135"/>
      <c r="O757" s="133"/>
      <c r="P757" s="136"/>
      <c r="Q757" s="134"/>
      <c r="R757" s="134"/>
      <c r="S757" s="134"/>
    </row>
    <row r="758" spans="1:19" s="75" customFormat="1" ht="14.6">
      <c r="A758" s="90"/>
      <c r="B758" s="90"/>
      <c r="D758" s="91"/>
      <c r="E758" s="77"/>
      <c r="M758" s="133"/>
      <c r="N758" s="135"/>
      <c r="O758" s="133"/>
      <c r="P758" s="136"/>
      <c r="Q758" s="134"/>
      <c r="R758" s="134"/>
      <c r="S758" s="134"/>
    </row>
    <row r="759" spans="1:19" s="75" customFormat="1" ht="14.6">
      <c r="A759" s="90"/>
      <c r="B759" s="90"/>
      <c r="D759" s="91"/>
      <c r="E759" s="77"/>
      <c r="M759" s="133"/>
      <c r="N759" s="135"/>
      <c r="O759" s="133"/>
      <c r="P759" s="136"/>
      <c r="Q759" s="134"/>
      <c r="R759" s="134"/>
      <c r="S759" s="134"/>
    </row>
    <row r="760" spans="1:19" s="75" customFormat="1" ht="14.6">
      <c r="A760" s="90"/>
      <c r="B760" s="90"/>
      <c r="D760" s="91"/>
      <c r="E760" s="77"/>
      <c r="M760" s="133"/>
      <c r="N760" s="135"/>
      <c r="O760" s="133"/>
      <c r="P760" s="136"/>
      <c r="Q760" s="134"/>
      <c r="R760" s="134"/>
      <c r="S760" s="134"/>
    </row>
    <row r="761" spans="1:19" s="75" customFormat="1" ht="14.6">
      <c r="A761" s="90"/>
      <c r="B761" s="90"/>
      <c r="D761" s="91"/>
      <c r="E761" s="77"/>
      <c r="M761" s="133"/>
      <c r="N761" s="135"/>
      <c r="O761" s="133"/>
      <c r="P761" s="136"/>
      <c r="Q761" s="134"/>
      <c r="R761" s="134"/>
      <c r="S761" s="134"/>
    </row>
    <row r="762" spans="1:19" s="75" customFormat="1" ht="14.6">
      <c r="A762" s="90"/>
      <c r="B762" s="90"/>
      <c r="D762" s="91"/>
      <c r="E762" s="77"/>
      <c r="M762" s="133"/>
      <c r="N762" s="135"/>
      <c r="O762" s="133"/>
      <c r="P762" s="136"/>
      <c r="Q762" s="134"/>
      <c r="R762" s="134"/>
      <c r="S762" s="134"/>
    </row>
    <row r="763" spans="1:19" s="75" customFormat="1" ht="14.6">
      <c r="A763" s="90"/>
      <c r="B763" s="90"/>
      <c r="D763" s="91"/>
      <c r="E763" s="77"/>
      <c r="M763" s="133"/>
      <c r="N763" s="135"/>
      <c r="O763" s="133"/>
      <c r="P763" s="136"/>
      <c r="Q763" s="134"/>
      <c r="R763" s="134"/>
      <c r="S763" s="134"/>
    </row>
    <row r="764" spans="1:19" s="75" customFormat="1" ht="14.6">
      <c r="A764" s="90"/>
      <c r="B764" s="90"/>
      <c r="D764" s="91"/>
      <c r="E764" s="77"/>
      <c r="M764" s="133"/>
      <c r="N764" s="135"/>
      <c r="O764" s="133"/>
      <c r="P764" s="136"/>
      <c r="Q764" s="134"/>
      <c r="R764" s="134"/>
      <c r="S764" s="134"/>
    </row>
    <row r="765" spans="1:19" s="75" customFormat="1" ht="14.6">
      <c r="A765" s="90"/>
      <c r="B765" s="90"/>
      <c r="D765" s="91"/>
      <c r="E765" s="77"/>
      <c r="M765" s="133"/>
      <c r="N765" s="135"/>
      <c r="O765" s="133"/>
      <c r="P765" s="136"/>
      <c r="Q765" s="134"/>
      <c r="R765" s="134"/>
      <c r="S765" s="134"/>
    </row>
    <row r="766" spans="1:19" s="75" customFormat="1" ht="14.6">
      <c r="A766" s="90"/>
      <c r="B766" s="90"/>
      <c r="D766" s="91"/>
      <c r="E766" s="77"/>
      <c r="M766" s="133"/>
      <c r="N766" s="135"/>
      <c r="O766" s="133"/>
      <c r="P766" s="136"/>
      <c r="Q766" s="134"/>
      <c r="R766" s="134"/>
      <c r="S766" s="134"/>
    </row>
    <row r="767" spans="1:19" s="75" customFormat="1" ht="14.6">
      <c r="A767" s="90"/>
      <c r="B767" s="90"/>
      <c r="D767" s="91"/>
      <c r="E767" s="77"/>
      <c r="M767" s="133"/>
      <c r="N767" s="135"/>
      <c r="O767" s="133"/>
      <c r="P767" s="136"/>
      <c r="Q767" s="134"/>
      <c r="R767" s="134"/>
      <c r="S767" s="134"/>
    </row>
    <row r="768" spans="1:19" s="75" customFormat="1" ht="14.6">
      <c r="A768" s="90"/>
      <c r="B768" s="90"/>
      <c r="D768" s="91"/>
      <c r="E768" s="77"/>
      <c r="M768" s="133"/>
      <c r="N768" s="135"/>
      <c r="O768" s="133"/>
      <c r="P768" s="136"/>
      <c r="Q768" s="134"/>
      <c r="R768" s="134"/>
      <c r="S768" s="134"/>
    </row>
    <row r="769" spans="1:19" s="75" customFormat="1" ht="14.6">
      <c r="A769" s="90"/>
      <c r="B769" s="90"/>
      <c r="D769" s="91"/>
      <c r="E769" s="77"/>
      <c r="M769" s="133"/>
      <c r="N769" s="135"/>
      <c r="O769" s="133"/>
      <c r="P769" s="136"/>
      <c r="Q769" s="134"/>
      <c r="R769" s="134"/>
      <c r="S769" s="134"/>
    </row>
    <row r="770" spans="1:19" s="75" customFormat="1" ht="14.6">
      <c r="A770" s="90"/>
      <c r="B770" s="90"/>
      <c r="D770" s="91"/>
      <c r="E770" s="77"/>
      <c r="M770" s="133"/>
      <c r="N770" s="135"/>
      <c r="O770" s="133"/>
      <c r="P770" s="136"/>
      <c r="Q770" s="134"/>
      <c r="R770" s="134"/>
      <c r="S770" s="134"/>
    </row>
    <row r="771" spans="1:19" s="75" customFormat="1" ht="14.6">
      <c r="A771" s="90"/>
      <c r="B771" s="90"/>
      <c r="D771" s="91"/>
      <c r="E771" s="77"/>
      <c r="M771" s="133"/>
      <c r="N771" s="135"/>
      <c r="O771" s="133"/>
      <c r="P771" s="136"/>
      <c r="Q771" s="134"/>
      <c r="R771" s="134"/>
      <c r="S771" s="134"/>
    </row>
    <row r="772" spans="1:19" s="75" customFormat="1" ht="14.6">
      <c r="A772" s="90"/>
      <c r="B772" s="90"/>
      <c r="D772" s="91"/>
      <c r="E772" s="77"/>
      <c r="M772" s="133"/>
      <c r="N772" s="135"/>
      <c r="O772" s="133"/>
      <c r="P772" s="136"/>
      <c r="Q772" s="134"/>
      <c r="R772" s="134"/>
      <c r="S772" s="134"/>
    </row>
    <row r="773" spans="1:19" s="75" customFormat="1" ht="14.6">
      <c r="A773" s="90"/>
      <c r="B773" s="90"/>
      <c r="D773" s="91"/>
      <c r="E773" s="77"/>
      <c r="M773" s="133"/>
      <c r="N773" s="135"/>
      <c r="O773" s="133"/>
      <c r="P773" s="136"/>
      <c r="Q773" s="134"/>
      <c r="R773" s="134"/>
      <c r="S773" s="134"/>
    </row>
    <row r="774" spans="1:19" s="75" customFormat="1" ht="14.6">
      <c r="A774" s="90"/>
      <c r="B774" s="90"/>
      <c r="D774" s="91"/>
      <c r="E774" s="77"/>
      <c r="M774" s="133"/>
      <c r="N774" s="135"/>
      <c r="O774" s="133"/>
      <c r="P774" s="136"/>
      <c r="Q774" s="134"/>
      <c r="R774" s="134"/>
      <c r="S774" s="134"/>
    </row>
    <row r="775" spans="1:19" s="75" customFormat="1" ht="14.6">
      <c r="A775" s="90"/>
      <c r="B775" s="90"/>
      <c r="D775" s="91"/>
      <c r="E775" s="77"/>
      <c r="M775" s="133"/>
      <c r="N775" s="135"/>
      <c r="O775" s="133"/>
      <c r="P775" s="136"/>
      <c r="Q775" s="134"/>
      <c r="R775" s="134"/>
      <c r="S775" s="134"/>
    </row>
    <row r="776" spans="1:19" s="75" customFormat="1" ht="14.6">
      <c r="A776" s="90"/>
      <c r="B776" s="90"/>
      <c r="D776" s="91"/>
      <c r="E776" s="77"/>
      <c r="M776" s="133"/>
      <c r="N776" s="135"/>
      <c r="O776" s="133"/>
      <c r="P776" s="136"/>
      <c r="Q776" s="134"/>
      <c r="R776" s="134"/>
      <c r="S776" s="134"/>
    </row>
    <row r="777" spans="1:19" s="75" customFormat="1" ht="14.6">
      <c r="A777" s="90"/>
      <c r="B777" s="90"/>
      <c r="D777" s="91"/>
      <c r="E777" s="77"/>
      <c r="M777" s="133"/>
      <c r="N777" s="135"/>
      <c r="O777" s="133"/>
      <c r="P777" s="136"/>
      <c r="Q777" s="134"/>
      <c r="R777" s="134"/>
      <c r="S777" s="134"/>
    </row>
    <row r="778" spans="1:19" s="75" customFormat="1" ht="14.6">
      <c r="A778" s="90"/>
      <c r="B778" s="90"/>
      <c r="D778" s="91"/>
      <c r="E778" s="77"/>
      <c r="M778" s="133"/>
      <c r="N778" s="135"/>
      <c r="O778" s="133"/>
      <c r="P778" s="136"/>
      <c r="Q778" s="134"/>
      <c r="R778" s="134"/>
      <c r="S778" s="134"/>
    </row>
    <row r="779" spans="1:19" s="75" customFormat="1" ht="14.6">
      <c r="A779" s="90"/>
      <c r="B779" s="90"/>
      <c r="D779" s="91"/>
      <c r="E779" s="77"/>
      <c r="M779" s="133"/>
      <c r="N779" s="135"/>
      <c r="O779" s="133"/>
      <c r="P779" s="136"/>
      <c r="Q779" s="134"/>
      <c r="R779" s="134"/>
      <c r="S779" s="134"/>
    </row>
    <row r="780" spans="1:19" s="75" customFormat="1" ht="14.6">
      <c r="A780" s="90"/>
      <c r="B780" s="90"/>
      <c r="D780" s="91"/>
      <c r="E780" s="77"/>
      <c r="M780" s="133"/>
      <c r="N780" s="135"/>
      <c r="O780" s="133"/>
      <c r="P780" s="136"/>
      <c r="Q780" s="134"/>
      <c r="R780" s="134"/>
      <c r="S780" s="134"/>
    </row>
    <row r="781" spans="1:19" s="75" customFormat="1" ht="14.6">
      <c r="A781" s="90"/>
      <c r="B781" s="90"/>
      <c r="D781" s="91"/>
      <c r="E781" s="77"/>
      <c r="M781" s="133"/>
      <c r="N781" s="135"/>
      <c r="O781" s="133"/>
      <c r="P781" s="136"/>
      <c r="Q781" s="134"/>
      <c r="R781" s="134"/>
      <c r="S781" s="134"/>
    </row>
    <row r="782" spans="1:19" s="75" customFormat="1" ht="14.6">
      <c r="A782" s="90"/>
      <c r="B782" s="90"/>
      <c r="D782" s="91"/>
      <c r="E782" s="77"/>
      <c r="M782" s="133"/>
      <c r="N782" s="135"/>
      <c r="O782" s="133"/>
      <c r="P782" s="136"/>
      <c r="Q782" s="134"/>
      <c r="R782" s="134"/>
      <c r="S782" s="134"/>
    </row>
    <row r="783" spans="1:19" s="75" customFormat="1" ht="14.6">
      <c r="A783" s="90"/>
      <c r="B783" s="90"/>
      <c r="D783" s="91"/>
      <c r="E783" s="77"/>
      <c r="M783" s="133"/>
      <c r="N783" s="135"/>
      <c r="O783" s="133"/>
      <c r="P783" s="136"/>
      <c r="Q783" s="134"/>
      <c r="R783" s="134"/>
      <c r="S783" s="134"/>
    </row>
    <row r="784" spans="1:19" s="75" customFormat="1" ht="14.6">
      <c r="A784" s="90"/>
      <c r="B784" s="90"/>
      <c r="D784" s="91"/>
      <c r="E784" s="77"/>
      <c r="M784" s="133"/>
      <c r="N784" s="135"/>
      <c r="O784" s="133"/>
      <c r="P784" s="136"/>
      <c r="Q784" s="134"/>
      <c r="R784" s="134"/>
      <c r="S784" s="134"/>
    </row>
    <row r="785" spans="1:19" s="75" customFormat="1" ht="14.6">
      <c r="A785" s="90"/>
      <c r="B785" s="90"/>
      <c r="D785" s="91"/>
      <c r="E785" s="77"/>
      <c r="M785" s="133"/>
      <c r="N785" s="135"/>
      <c r="O785" s="133"/>
      <c r="P785" s="136"/>
      <c r="Q785" s="134"/>
      <c r="R785" s="134"/>
      <c r="S785" s="134"/>
    </row>
    <row r="786" spans="1:19" s="75" customFormat="1" ht="14.6">
      <c r="A786" s="90"/>
      <c r="B786" s="90"/>
      <c r="D786" s="91"/>
      <c r="E786" s="77"/>
      <c r="M786" s="133"/>
      <c r="N786" s="135"/>
      <c r="O786" s="133"/>
      <c r="P786" s="136"/>
      <c r="Q786" s="134"/>
      <c r="R786" s="134"/>
      <c r="S786" s="134"/>
    </row>
    <row r="787" spans="1:19" s="75" customFormat="1" ht="14.6">
      <c r="A787" s="90"/>
      <c r="B787" s="90"/>
      <c r="D787" s="91"/>
      <c r="E787" s="77"/>
      <c r="M787" s="133"/>
      <c r="N787" s="135"/>
      <c r="O787" s="133"/>
      <c r="P787" s="136"/>
      <c r="Q787" s="134"/>
      <c r="R787" s="134"/>
      <c r="S787" s="134"/>
    </row>
    <row r="788" spans="1:19" s="75" customFormat="1" ht="14.6">
      <c r="A788" s="90"/>
      <c r="B788" s="90"/>
      <c r="D788" s="91"/>
      <c r="E788" s="77"/>
      <c r="M788" s="133"/>
      <c r="N788" s="135"/>
      <c r="O788" s="133"/>
      <c r="P788" s="136"/>
      <c r="Q788" s="134"/>
      <c r="R788" s="134"/>
      <c r="S788" s="134"/>
    </row>
    <row r="789" spans="1:19" s="75" customFormat="1" ht="14.6">
      <c r="A789" s="90"/>
      <c r="B789" s="90"/>
      <c r="D789" s="91"/>
      <c r="E789" s="77"/>
      <c r="M789" s="133"/>
      <c r="N789" s="135"/>
      <c r="O789" s="133"/>
      <c r="P789" s="136"/>
      <c r="Q789" s="134"/>
      <c r="R789" s="134"/>
      <c r="S789" s="134"/>
    </row>
    <row r="790" spans="1:19" s="75" customFormat="1" ht="14.6">
      <c r="A790" s="90"/>
      <c r="B790" s="90"/>
      <c r="D790" s="91"/>
      <c r="E790" s="77"/>
      <c r="M790" s="133"/>
      <c r="N790" s="135"/>
      <c r="O790" s="133"/>
      <c r="P790" s="136"/>
      <c r="Q790" s="134"/>
      <c r="R790" s="134"/>
      <c r="S790" s="134"/>
    </row>
    <row r="791" spans="1:19" s="75" customFormat="1" ht="14.6">
      <c r="A791" s="90"/>
      <c r="B791" s="90"/>
      <c r="D791" s="91"/>
      <c r="E791" s="77"/>
      <c r="M791" s="133"/>
      <c r="N791" s="135"/>
      <c r="O791" s="133"/>
      <c r="P791" s="136"/>
      <c r="Q791" s="134"/>
      <c r="R791" s="134"/>
      <c r="S791" s="134"/>
    </row>
    <row r="792" spans="1:19" s="75" customFormat="1" ht="14.6">
      <c r="A792" s="90"/>
      <c r="B792" s="90"/>
      <c r="D792" s="91"/>
      <c r="E792" s="77"/>
      <c r="M792" s="133"/>
      <c r="N792" s="135"/>
      <c r="O792" s="133"/>
      <c r="P792" s="136"/>
      <c r="Q792" s="134"/>
      <c r="R792" s="134"/>
      <c r="S792" s="134"/>
    </row>
    <row r="793" spans="1:19" s="75" customFormat="1" ht="14.6">
      <c r="A793" s="90"/>
      <c r="B793" s="90"/>
      <c r="D793" s="91"/>
      <c r="E793" s="77"/>
      <c r="M793" s="133"/>
      <c r="N793" s="135"/>
      <c r="O793" s="133"/>
      <c r="P793" s="136"/>
      <c r="Q793" s="134"/>
      <c r="R793" s="134"/>
      <c r="S793" s="134"/>
    </row>
    <row r="794" spans="1:19" s="75" customFormat="1" ht="14.6">
      <c r="A794" s="90"/>
      <c r="B794" s="90"/>
      <c r="D794" s="91"/>
      <c r="E794" s="77"/>
      <c r="M794" s="133"/>
      <c r="N794" s="135"/>
      <c r="O794" s="133"/>
      <c r="P794" s="136"/>
      <c r="Q794" s="134"/>
      <c r="R794" s="134"/>
      <c r="S794" s="134"/>
    </row>
    <row r="795" spans="1:19" s="75" customFormat="1" ht="14.6">
      <c r="A795" s="90"/>
      <c r="B795" s="90"/>
      <c r="D795" s="91"/>
      <c r="E795" s="77"/>
      <c r="M795" s="133"/>
      <c r="N795" s="135"/>
      <c r="O795" s="133"/>
      <c r="P795" s="136"/>
      <c r="Q795" s="134"/>
      <c r="R795" s="134"/>
      <c r="S795" s="134"/>
    </row>
    <row r="796" spans="1:19" s="75" customFormat="1" ht="14.6">
      <c r="A796" s="90"/>
      <c r="B796" s="90"/>
      <c r="D796" s="91"/>
      <c r="E796" s="77"/>
      <c r="M796" s="133"/>
      <c r="N796" s="135"/>
      <c r="O796" s="133"/>
      <c r="P796" s="136"/>
      <c r="Q796" s="134"/>
      <c r="R796" s="134"/>
      <c r="S796" s="134"/>
    </row>
    <row r="797" spans="1:19" s="75" customFormat="1" ht="14.6">
      <c r="A797" s="90"/>
      <c r="B797" s="90"/>
      <c r="D797" s="91"/>
      <c r="E797" s="77"/>
      <c r="M797" s="133"/>
      <c r="N797" s="135"/>
      <c r="O797" s="133"/>
      <c r="P797" s="136"/>
      <c r="Q797" s="134"/>
      <c r="R797" s="134"/>
      <c r="S797" s="134"/>
    </row>
    <row r="798" spans="1:19" s="75" customFormat="1" ht="14.6">
      <c r="A798" s="90"/>
      <c r="B798" s="90"/>
      <c r="D798" s="91"/>
      <c r="E798" s="77"/>
      <c r="M798" s="133"/>
      <c r="N798" s="135"/>
      <c r="O798" s="133"/>
      <c r="P798" s="136"/>
      <c r="Q798" s="134"/>
      <c r="R798" s="134"/>
      <c r="S798" s="134"/>
    </row>
    <row r="799" spans="1:19" s="75" customFormat="1" ht="14.6">
      <c r="A799" s="90"/>
      <c r="B799" s="90"/>
      <c r="D799" s="91"/>
      <c r="E799" s="77"/>
      <c r="M799" s="133"/>
      <c r="N799" s="135"/>
      <c r="O799" s="133"/>
      <c r="P799" s="136"/>
      <c r="Q799" s="134"/>
      <c r="R799" s="134"/>
      <c r="S799" s="134"/>
    </row>
    <row r="800" spans="1:19" s="75" customFormat="1" ht="14.6">
      <c r="A800" s="90"/>
      <c r="B800" s="90"/>
      <c r="D800" s="91"/>
      <c r="E800" s="77"/>
      <c r="M800" s="133"/>
      <c r="N800" s="135"/>
      <c r="O800" s="133"/>
      <c r="P800" s="136"/>
      <c r="Q800" s="134"/>
      <c r="R800" s="134"/>
      <c r="S800" s="134"/>
    </row>
    <row r="801" spans="1:19" s="75" customFormat="1" ht="14.6">
      <c r="A801" s="90"/>
      <c r="B801" s="90"/>
      <c r="D801" s="91"/>
      <c r="E801" s="77"/>
      <c r="M801" s="133"/>
      <c r="N801" s="135"/>
      <c r="O801" s="133"/>
      <c r="P801" s="136"/>
      <c r="Q801" s="134"/>
      <c r="R801" s="134"/>
      <c r="S801" s="134"/>
    </row>
    <row r="802" spans="1:19" s="75" customFormat="1" ht="14.6">
      <c r="A802" s="90"/>
      <c r="B802" s="90"/>
      <c r="D802" s="91"/>
      <c r="E802" s="77"/>
      <c r="M802" s="133"/>
      <c r="N802" s="135"/>
      <c r="O802" s="133"/>
      <c r="P802" s="136"/>
      <c r="Q802" s="134"/>
      <c r="R802" s="134"/>
      <c r="S802" s="134"/>
    </row>
    <row r="803" spans="1:19" s="75" customFormat="1" ht="14.6">
      <c r="A803" s="90"/>
      <c r="B803" s="90"/>
      <c r="D803" s="91"/>
      <c r="E803" s="77"/>
      <c r="M803" s="133"/>
      <c r="N803" s="135"/>
      <c r="O803" s="133"/>
      <c r="P803" s="136"/>
      <c r="Q803" s="134"/>
      <c r="R803" s="134"/>
      <c r="S803" s="134"/>
    </row>
    <row r="804" spans="1:19" s="75" customFormat="1" ht="14.6">
      <c r="A804" s="90"/>
      <c r="B804" s="90"/>
      <c r="D804" s="91"/>
      <c r="E804" s="77"/>
      <c r="M804" s="133"/>
      <c r="N804" s="135"/>
      <c r="O804" s="133"/>
      <c r="P804" s="136"/>
      <c r="Q804" s="134"/>
      <c r="R804" s="134"/>
      <c r="S804" s="134"/>
    </row>
    <row r="805" spans="1:19" s="75" customFormat="1" ht="14.6">
      <c r="A805" s="90"/>
      <c r="B805" s="90"/>
      <c r="D805" s="91"/>
      <c r="E805" s="77"/>
      <c r="M805" s="133"/>
      <c r="N805" s="135"/>
      <c r="O805" s="133"/>
      <c r="P805" s="136"/>
      <c r="Q805" s="134"/>
      <c r="R805" s="134"/>
      <c r="S805" s="134"/>
    </row>
    <row r="806" spans="1:19" s="75" customFormat="1" ht="14.6">
      <c r="A806" s="90"/>
      <c r="B806" s="90"/>
      <c r="D806" s="91"/>
      <c r="E806" s="77"/>
      <c r="M806" s="133"/>
      <c r="N806" s="135"/>
      <c r="O806" s="133"/>
      <c r="P806" s="136"/>
      <c r="Q806" s="134"/>
      <c r="R806" s="134"/>
      <c r="S806" s="134"/>
    </row>
    <row r="807" spans="1:19" s="75" customFormat="1" ht="14.6">
      <c r="A807" s="90"/>
      <c r="B807" s="90"/>
      <c r="D807" s="91"/>
      <c r="E807" s="77"/>
      <c r="M807" s="133"/>
      <c r="N807" s="135"/>
      <c r="O807" s="133"/>
      <c r="P807" s="136"/>
      <c r="Q807" s="134"/>
      <c r="R807" s="134"/>
      <c r="S807" s="134"/>
    </row>
    <row r="808" spans="1:19" s="75" customFormat="1" ht="14.6">
      <c r="A808" s="90"/>
      <c r="B808" s="90"/>
      <c r="D808" s="91"/>
      <c r="E808" s="77"/>
      <c r="M808" s="133"/>
      <c r="N808" s="135"/>
      <c r="O808" s="133"/>
      <c r="P808" s="136"/>
      <c r="Q808" s="134"/>
      <c r="R808" s="134"/>
      <c r="S808" s="134"/>
    </row>
    <row r="809" spans="1:19" s="75" customFormat="1" ht="14.6">
      <c r="A809" s="90"/>
      <c r="B809" s="90"/>
      <c r="D809" s="91"/>
      <c r="E809" s="77"/>
      <c r="M809" s="133"/>
      <c r="N809" s="135"/>
      <c r="O809" s="133"/>
      <c r="P809" s="136"/>
      <c r="Q809" s="134"/>
      <c r="R809" s="134"/>
      <c r="S809" s="134"/>
    </row>
    <row r="810" spans="1:19" s="75" customFormat="1" ht="14.6">
      <c r="A810" s="90"/>
      <c r="B810" s="90"/>
      <c r="D810" s="91"/>
      <c r="E810" s="77"/>
      <c r="M810" s="133"/>
      <c r="N810" s="135"/>
      <c r="O810" s="133"/>
      <c r="P810" s="136"/>
      <c r="Q810" s="134"/>
      <c r="R810" s="134"/>
      <c r="S810" s="134"/>
    </row>
    <row r="811" spans="1:19" s="75" customFormat="1" ht="14.6">
      <c r="A811" s="90"/>
      <c r="B811" s="90"/>
      <c r="D811" s="91"/>
      <c r="E811" s="77"/>
      <c r="M811" s="133"/>
      <c r="N811" s="135"/>
      <c r="O811" s="133"/>
      <c r="P811" s="136"/>
      <c r="Q811" s="134"/>
      <c r="R811" s="134"/>
      <c r="S811" s="134"/>
    </row>
    <row r="812" spans="1:19" s="75" customFormat="1" ht="14.6">
      <c r="A812" s="90"/>
      <c r="B812" s="90"/>
      <c r="D812" s="91"/>
      <c r="E812" s="77"/>
      <c r="M812" s="133"/>
      <c r="N812" s="135"/>
      <c r="O812" s="133"/>
      <c r="P812" s="136"/>
      <c r="Q812" s="134"/>
      <c r="R812" s="134"/>
      <c r="S812" s="134"/>
    </row>
    <row r="813" spans="1:19" s="75" customFormat="1" ht="14.6">
      <c r="A813" s="90"/>
      <c r="B813" s="90"/>
      <c r="D813" s="91"/>
      <c r="E813" s="77"/>
      <c r="M813" s="133"/>
      <c r="N813" s="135"/>
      <c r="O813" s="133"/>
      <c r="P813" s="136"/>
      <c r="Q813" s="134"/>
      <c r="R813" s="134"/>
      <c r="S813" s="134"/>
    </row>
    <row r="814" spans="1:19" s="75" customFormat="1" ht="14.6">
      <c r="A814" s="90"/>
      <c r="B814" s="90"/>
      <c r="D814" s="91"/>
      <c r="E814" s="77"/>
      <c r="M814" s="133"/>
      <c r="N814" s="135"/>
      <c r="O814" s="133"/>
      <c r="P814" s="136"/>
      <c r="Q814" s="134"/>
      <c r="R814" s="134"/>
      <c r="S814" s="134"/>
    </row>
    <row r="815" spans="1:19" s="75" customFormat="1" ht="14.6">
      <c r="A815" s="90"/>
      <c r="B815" s="90"/>
      <c r="D815" s="91"/>
      <c r="E815" s="77"/>
      <c r="M815" s="133"/>
      <c r="N815" s="135"/>
      <c r="O815" s="133"/>
      <c r="P815" s="136"/>
      <c r="Q815" s="134"/>
      <c r="R815" s="134"/>
      <c r="S815" s="134"/>
    </row>
    <row r="816" spans="1:19" s="75" customFormat="1" ht="14.6">
      <c r="A816" s="90"/>
      <c r="B816" s="90"/>
      <c r="D816" s="91"/>
      <c r="E816" s="77"/>
      <c r="M816" s="133"/>
      <c r="N816" s="135"/>
      <c r="O816" s="133"/>
      <c r="P816" s="136"/>
      <c r="Q816" s="134"/>
      <c r="R816" s="134"/>
      <c r="S816" s="134"/>
    </row>
    <row r="817" spans="1:19" s="75" customFormat="1" ht="14.6">
      <c r="A817" s="90"/>
      <c r="B817" s="90"/>
      <c r="D817" s="91"/>
      <c r="E817" s="77"/>
      <c r="M817" s="133"/>
      <c r="N817" s="135"/>
      <c r="O817" s="133"/>
      <c r="P817" s="136"/>
      <c r="Q817" s="134"/>
      <c r="R817" s="134"/>
      <c r="S817" s="134"/>
    </row>
    <row r="818" spans="1:19" s="75" customFormat="1" ht="14.6">
      <c r="A818" s="90"/>
      <c r="B818" s="90"/>
      <c r="D818" s="91"/>
      <c r="E818" s="77"/>
      <c r="M818" s="133"/>
      <c r="N818" s="135"/>
      <c r="O818" s="133"/>
      <c r="P818" s="136"/>
      <c r="Q818" s="134"/>
      <c r="R818" s="134"/>
      <c r="S818" s="134"/>
    </row>
    <row r="819" spans="1:19" s="75" customFormat="1" ht="14.6">
      <c r="A819" s="90"/>
      <c r="B819" s="90"/>
      <c r="D819" s="91"/>
      <c r="E819" s="77"/>
      <c r="M819" s="133"/>
      <c r="N819" s="135"/>
      <c r="O819" s="133"/>
      <c r="P819" s="136"/>
      <c r="Q819" s="134"/>
      <c r="R819" s="134"/>
      <c r="S819" s="134"/>
    </row>
    <row r="820" spans="1:19" s="75" customFormat="1" ht="14.6">
      <c r="A820" s="90"/>
      <c r="B820" s="90"/>
      <c r="D820" s="91"/>
      <c r="E820" s="77"/>
      <c r="M820" s="133"/>
      <c r="N820" s="135"/>
      <c r="O820" s="133"/>
      <c r="P820" s="136"/>
      <c r="Q820" s="134"/>
      <c r="R820" s="134"/>
      <c r="S820" s="134"/>
    </row>
    <row r="821" spans="1:19" s="75" customFormat="1" ht="14.6">
      <c r="A821" s="90"/>
      <c r="B821" s="90"/>
      <c r="D821" s="91"/>
      <c r="E821" s="77"/>
      <c r="M821" s="133"/>
      <c r="N821" s="135"/>
      <c r="O821" s="133"/>
      <c r="P821" s="136"/>
      <c r="Q821" s="134"/>
      <c r="R821" s="134"/>
      <c r="S821" s="134"/>
    </row>
    <row r="822" spans="1:19" s="75" customFormat="1" ht="14.6">
      <c r="A822" s="90"/>
      <c r="B822" s="90"/>
      <c r="D822" s="91"/>
      <c r="E822" s="77"/>
      <c r="M822" s="133"/>
      <c r="N822" s="135"/>
      <c r="O822" s="133"/>
      <c r="P822" s="136"/>
      <c r="Q822" s="134"/>
      <c r="R822" s="134"/>
      <c r="S822" s="134"/>
    </row>
    <row r="823" spans="1:19" s="75" customFormat="1" ht="14.6">
      <c r="A823" s="90"/>
      <c r="B823" s="90"/>
      <c r="D823" s="91"/>
      <c r="E823" s="77"/>
      <c r="M823" s="133"/>
      <c r="N823" s="135"/>
      <c r="O823" s="133"/>
      <c r="P823" s="136"/>
      <c r="Q823" s="134"/>
      <c r="R823" s="134"/>
      <c r="S823" s="134"/>
    </row>
    <row r="824" spans="1:19" s="75" customFormat="1" ht="14.6">
      <c r="A824" s="90"/>
      <c r="B824" s="90"/>
      <c r="D824" s="91"/>
      <c r="E824" s="77"/>
      <c r="M824" s="133"/>
      <c r="N824" s="135"/>
      <c r="O824" s="133"/>
      <c r="P824" s="136"/>
      <c r="Q824" s="134"/>
      <c r="R824" s="134"/>
      <c r="S824" s="134"/>
    </row>
    <row r="825" spans="1:19" s="75" customFormat="1" ht="14.6">
      <c r="A825" s="90"/>
      <c r="B825" s="90"/>
      <c r="D825" s="91"/>
      <c r="E825" s="77"/>
      <c r="M825" s="133"/>
      <c r="N825" s="135"/>
      <c r="O825" s="133"/>
      <c r="P825" s="136"/>
      <c r="Q825" s="134"/>
      <c r="R825" s="134"/>
      <c r="S825" s="134"/>
    </row>
    <row r="826" spans="1:19" s="75" customFormat="1" ht="14.6">
      <c r="A826" s="90"/>
      <c r="B826" s="90"/>
      <c r="D826" s="91"/>
      <c r="E826" s="77"/>
      <c r="M826" s="133"/>
      <c r="N826" s="135"/>
      <c r="O826" s="133"/>
      <c r="P826" s="136"/>
      <c r="Q826" s="134"/>
      <c r="R826" s="134"/>
      <c r="S826" s="134"/>
    </row>
    <row r="827" spans="1:19" s="75" customFormat="1" ht="14.6">
      <c r="A827" s="90"/>
      <c r="B827" s="90"/>
      <c r="D827" s="91"/>
      <c r="E827" s="77"/>
      <c r="M827" s="133"/>
      <c r="N827" s="135"/>
      <c r="O827" s="133"/>
      <c r="P827" s="136"/>
      <c r="Q827" s="134"/>
      <c r="R827" s="134"/>
      <c r="S827" s="134"/>
    </row>
    <row r="828" spans="1:19" s="75" customFormat="1" ht="14.6">
      <c r="A828" s="90"/>
      <c r="B828" s="90"/>
      <c r="D828" s="91"/>
      <c r="E828" s="77"/>
      <c r="M828" s="133"/>
      <c r="N828" s="135"/>
      <c r="O828" s="133"/>
      <c r="P828" s="136"/>
      <c r="Q828" s="134"/>
      <c r="R828" s="134"/>
      <c r="S828" s="134"/>
    </row>
    <row r="829" spans="1:19" s="75" customFormat="1" ht="14.6">
      <c r="A829" s="90"/>
      <c r="B829" s="90"/>
      <c r="D829" s="91"/>
      <c r="E829" s="77"/>
      <c r="M829" s="133"/>
      <c r="N829" s="135"/>
      <c r="O829" s="133"/>
      <c r="P829" s="136"/>
      <c r="Q829" s="134"/>
      <c r="R829" s="134"/>
      <c r="S829" s="134"/>
    </row>
    <row r="830" spans="1:19" s="75" customFormat="1" ht="14.6">
      <c r="A830" s="90"/>
      <c r="B830" s="90"/>
      <c r="D830" s="91"/>
      <c r="E830" s="77"/>
      <c r="M830" s="133"/>
      <c r="N830" s="135"/>
      <c r="O830" s="133"/>
      <c r="P830" s="136"/>
      <c r="Q830" s="134"/>
      <c r="R830" s="134"/>
      <c r="S830" s="134"/>
    </row>
    <row r="831" spans="1:19" s="75" customFormat="1" ht="14.6">
      <c r="A831" s="90"/>
      <c r="B831" s="90"/>
      <c r="D831" s="91"/>
      <c r="E831" s="77"/>
      <c r="M831" s="133"/>
      <c r="N831" s="135"/>
      <c r="O831" s="133"/>
      <c r="P831" s="136"/>
      <c r="Q831" s="134"/>
      <c r="R831" s="134"/>
      <c r="S831" s="134"/>
    </row>
    <row r="832" spans="1:19" s="75" customFormat="1" ht="14.6">
      <c r="A832" s="90"/>
      <c r="B832" s="90"/>
      <c r="D832" s="91"/>
      <c r="E832" s="77"/>
      <c r="M832" s="133"/>
      <c r="N832" s="135"/>
      <c r="O832" s="133"/>
      <c r="P832" s="136"/>
      <c r="Q832" s="134"/>
      <c r="R832" s="134"/>
      <c r="S832" s="134"/>
    </row>
    <row r="833" spans="1:19" s="75" customFormat="1" ht="14.6">
      <c r="A833" s="90"/>
      <c r="B833" s="90"/>
      <c r="D833" s="91"/>
      <c r="E833" s="77"/>
      <c r="M833" s="133"/>
      <c r="N833" s="135"/>
      <c r="O833" s="133"/>
      <c r="P833" s="136"/>
      <c r="Q833" s="134"/>
      <c r="R833" s="134"/>
      <c r="S833" s="134"/>
    </row>
    <row r="834" spans="1:19" s="75" customFormat="1" ht="14.6">
      <c r="A834" s="90"/>
      <c r="B834" s="90"/>
      <c r="D834" s="91"/>
      <c r="E834" s="77"/>
      <c r="M834" s="133"/>
      <c r="N834" s="135"/>
      <c r="O834" s="133"/>
      <c r="P834" s="136"/>
      <c r="Q834" s="134"/>
      <c r="R834" s="134"/>
      <c r="S834" s="134"/>
    </row>
    <row r="835" spans="1:19" s="75" customFormat="1" ht="14.6">
      <c r="A835" s="90"/>
      <c r="B835" s="90"/>
      <c r="D835" s="91"/>
      <c r="E835" s="77"/>
      <c r="M835" s="133"/>
      <c r="N835" s="135"/>
      <c r="O835" s="133"/>
      <c r="P835" s="136"/>
      <c r="Q835" s="134"/>
      <c r="R835" s="134"/>
      <c r="S835" s="134"/>
    </row>
    <row r="836" spans="1:19" s="75" customFormat="1" ht="14.6">
      <c r="A836" s="90"/>
      <c r="B836" s="90"/>
      <c r="D836" s="91"/>
      <c r="E836" s="77"/>
      <c r="M836" s="133"/>
      <c r="N836" s="135"/>
      <c r="O836" s="133"/>
      <c r="P836" s="136"/>
      <c r="Q836" s="134"/>
      <c r="R836" s="134"/>
      <c r="S836" s="134"/>
    </row>
    <row r="837" spans="1:19" s="75" customFormat="1" ht="14.6">
      <c r="A837" s="90"/>
      <c r="B837" s="90"/>
      <c r="D837" s="91"/>
      <c r="E837" s="77"/>
      <c r="M837" s="133"/>
      <c r="N837" s="135"/>
      <c r="O837" s="133"/>
      <c r="P837" s="136"/>
      <c r="Q837" s="134"/>
      <c r="R837" s="134"/>
      <c r="S837" s="134"/>
    </row>
    <row r="838" spans="1:19" s="75" customFormat="1" ht="14.6">
      <c r="A838" s="90"/>
      <c r="B838" s="90"/>
      <c r="D838" s="91"/>
      <c r="E838" s="77"/>
      <c r="M838" s="133"/>
      <c r="N838" s="135"/>
      <c r="O838" s="133"/>
      <c r="P838" s="136"/>
      <c r="Q838" s="134"/>
      <c r="R838" s="134"/>
      <c r="S838" s="134"/>
    </row>
    <row r="839" spans="1:19" s="75" customFormat="1" ht="14.6">
      <c r="A839" s="90"/>
      <c r="B839" s="90"/>
      <c r="D839" s="91"/>
      <c r="E839" s="77"/>
      <c r="M839" s="133"/>
      <c r="N839" s="135"/>
      <c r="O839" s="133"/>
      <c r="P839" s="136"/>
      <c r="Q839" s="134"/>
      <c r="R839" s="134"/>
      <c r="S839" s="134"/>
    </row>
    <row r="840" spans="1:19" s="75" customFormat="1" ht="14.6">
      <c r="A840" s="90"/>
      <c r="B840" s="90"/>
      <c r="D840" s="91"/>
      <c r="E840" s="77"/>
      <c r="M840" s="133"/>
      <c r="N840" s="135"/>
      <c r="O840" s="133"/>
      <c r="P840" s="136"/>
      <c r="Q840" s="134"/>
      <c r="R840" s="134"/>
      <c r="S840" s="134"/>
    </row>
    <row r="841" spans="1:19" s="75" customFormat="1" ht="14.6">
      <c r="A841" s="90"/>
      <c r="B841" s="90"/>
      <c r="D841" s="91"/>
      <c r="E841" s="77"/>
      <c r="M841" s="133"/>
      <c r="N841" s="135"/>
      <c r="O841" s="133"/>
      <c r="P841" s="136"/>
      <c r="Q841" s="134"/>
      <c r="R841" s="134"/>
      <c r="S841" s="134"/>
    </row>
    <row r="842" spans="1:19" s="75" customFormat="1" ht="14.6">
      <c r="A842" s="90"/>
      <c r="B842" s="90"/>
      <c r="D842" s="91"/>
      <c r="E842" s="77"/>
      <c r="M842" s="133"/>
      <c r="N842" s="135"/>
      <c r="O842" s="133"/>
      <c r="P842" s="136"/>
      <c r="Q842" s="134"/>
      <c r="R842" s="134"/>
      <c r="S842" s="134"/>
    </row>
    <row r="843" spans="1:19" s="75" customFormat="1" ht="14.6">
      <c r="A843" s="90"/>
      <c r="B843" s="90"/>
      <c r="D843" s="91"/>
      <c r="E843" s="77"/>
      <c r="M843" s="133"/>
      <c r="N843" s="135"/>
      <c r="O843" s="133"/>
      <c r="P843" s="136"/>
      <c r="Q843" s="134"/>
      <c r="R843" s="134"/>
      <c r="S843" s="134"/>
    </row>
    <row r="844" spans="1:19" s="75" customFormat="1" ht="14.6">
      <c r="A844" s="90"/>
      <c r="B844" s="90"/>
      <c r="D844" s="91"/>
      <c r="E844" s="77"/>
      <c r="M844" s="133"/>
      <c r="N844" s="135"/>
      <c r="O844" s="133"/>
      <c r="P844" s="136"/>
      <c r="Q844" s="134"/>
      <c r="R844" s="134"/>
      <c r="S844" s="134"/>
    </row>
    <row r="845" spans="1:19" s="75" customFormat="1" ht="14.6">
      <c r="A845" s="90"/>
      <c r="B845" s="90"/>
      <c r="D845" s="91"/>
      <c r="E845" s="77"/>
      <c r="M845" s="133"/>
      <c r="N845" s="135"/>
      <c r="O845" s="133"/>
      <c r="P845" s="136"/>
      <c r="Q845" s="134"/>
      <c r="R845" s="134"/>
      <c r="S845" s="134"/>
    </row>
    <row r="846" spans="1:19" s="75" customFormat="1" ht="14.6">
      <c r="A846" s="90"/>
      <c r="B846" s="90"/>
      <c r="D846" s="91"/>
      <c r="E846" s="77"/>
      <c r="M846" s="133"/>
      <c r="N846" s="135"/>
      <c r="O846" s="133"/>
      <c r="P846" s="136"/>
      <c r="Q846" s="134"/>
      <c r="R846" s="134"/>
      <c r="S846" s="134"/>
    </row>
    <row r="847" spans="1:19" s="75" customFormat="1" ht="14.6">
      <c r="A847" s="90"/>
      <c r="B847" s="90"/>
      <c r="D847" s="91"/>
      <c r="E847" s="77"/>
      <c r="M847" s="133"/>
      <c r="N847" s="135"/>
      <c r="O847" s="133"/>
      <c r="P847" s="136"/>
      <c r="Q847" s="134"/>
      <c r="R847" s="134"/>
      <c r="S847" s="134"/>
    </row>
    <row r="848" spans="1:19" s="75" customFormat="1" ht="14.6">
      <c r="A848" s="90"/>
      <c r="B848" s="90"/>
      <c r="D848" s="91"/>
      <c r="E848" s="77"/>
      <c r="M848" s="133"/>
      <c r="N848" s="135"/>
      <c r="O848" s="133"/>
      <c r="P848" s="136"/>
      <c r="Q848" s="134"/>
      <c r="R848" s="134"/>
      <c r="S848" s="134"/>
    </row>
    <row r="849" spans="1:19" s="75" customFormat="1" ht="14.6">
      <c r="A849" s="90"/>
      <c r="B849" s="90"/>
      <c r="D849" s="91"/>
      <c r="E849" s="77"/>
      <c r="M849" s="133"/>
      <c r="N849" s="135"/>
      <c r="O849" s="133"/>
      <c r="P849" s="136"/>
      <c r="Q849" s="134"/>
      <c r="R849" s="134"/>
      <c r="S849" s="134"/>
    </row>
    <row r="850" spans="1:19" s="75" customFormat="1" ht="14.6">
      <c r="A850" s="90"/>
      <c r="B850" s="90"/>
      <c r="D850" s="91"/>
      <c r="E850" s="77"/>
      <c r="M850" s="133"/>
      <c r="N850" s="135"/>
      <c r="O850" s="133"/>
      <c r="P850" s="136"/>
      <c r="Q850" s="134"/>
      <c r="R850" s="134"/>
      <c r="S850" s="134"/>
    </row>
    <row r="851" spans="1:19" s="75" customFormat="1" ht="14.6">
      <c r="A851" s="90"/>
      <c r="B851" s="90"/>
      <c r="D851" s="91"/>
      <c r="E851" s="77"/>
      <c r="M851" s="133"/>
      <c r="N851" s="135"/>
      <c r="O851" s="133"/>
      <c r="P851" s="136"/>
      <c r="Q851" s="134"/>
      <c r="R851" s="134"/>
      <c r="S851" s="134"/>
    </row>
    <row r="852" spans="1:19" s="75" customFormat="1" ht="14.6">
      <c r="A852" s="90"/>
      <c r="B852" s="90"/>
      <c r="D852" s="91"/>
      <c r="E852" s="77"/>
      <c r="M852" s="133"/>
      <c r="N852" s="135"/>
      <c r="O852" s="133"/>
      <c r="P852" s="136"/>
      <c r="Q852" s="134"/>
      <c r="R852" s="134"/>
      <c r="S852" s="134"/>
    </row>
    <row r="853" spans="1:19" s="75" customFormat="1" ht="14.6">
      <c r="A853" s="90"/>
      <c r="B853" s="90"/>
      <c r="D853" s="91"/>
      <c r="E853" s="77"/>
      <c r="M853" s="133"/>
      <c r="N853" s="135"/>
      <c r="O853" s="133"/>
      <c r="P853" s="136"/>
      <c r="Q853" s="134"/>
      <c r="R853" s="134"/>
      <c r="S853" s="134"/>
    </row>
    <row r="854" spans="1:19" s="75" customFormat="1" ht="14.6">
      <c r="A854" s="90"/>
      <c r="B854" s="90"/>
      <c r="D854" s="91"/>
      <c r="E854" s="77"/>
      <c r="M854" s="133"/>
      <c r="N854" s="135"/>
      <c r="O854" s="133"/>
      <c r="P854" s="136"/>
      <c r="Q854" s="134"/>
      <c r="R854" s="134"/>
      <c r="S854" s="134"/>
    </row>
    <row r="855" spans="1:19" s="75" customFormat="1" ht="14.6">
      <c r="A855" s="90"/>
      <c r="B855" s="90"/>
      <c r="D855" s="91"/>
      <c r="E855" s="77"/>
      <c r="M855" s="133"/>
      <c r="N855" s="135"/>
      <c r="O855" s="133"/>
      <c r="P855" s="136"/>
      <c r="Q855" s="134"/>
      <c r="R855" s="134"/>
      <c r="S855" s="134"/>
    </row>
    <row r="856" spans="1:19" s="75" customFormat="1" ht="14.6">
      <c r="A856" s="90"/>
      <c r="B856" s="90"/>
      <c r="D856" s="91"/>
      <c r="E856" s="77"/>
      <c r="M856" s="133"/>
      <c r="N856" s="135"/>
      <c r="O856" s="133"/>
      <c r="P856" s="136"/>
      <c r="Q856" s="134"/>
      <c r="R856" s="134"/>
      <c r="S856" s="134"/>
    </row>
    <row r="857" spans="1:19" s="75" customFormat="1" ht="14.6">
      <c r="A857" s="90"/>
      <c r="B857" s="90"/>
      <c r="D857" s="91"/>
      <c r="E857" s="77"/>
      <c r="M857" s="133"/>
      <c r="N857" s="135"/>
      <c r="O857" s="133"/>
      <c r="P857" s="136"/>
      <c r="Q857" s="134"/>
      <c r="R857" s="134"/>
      <c r="S857" s="134"/>
    </row>
    <row r="858" spans="1:19" s="75" customFormat="1" ht="14.6">
      <c r="A858" s="90"/>
      <c r="B858" s="90"/>
      <c r="D858" s="91"/>
      <c r="E858" s="77"/>
      <c r="M858" s="133"/>
      <c r="N858" s="135"/>
      <c r="O858" s="133"/>
      <c r="P858" s="136"/>
      <c r="Q858" s="134"/>
      <c r="R858" s="134"/>
      <c r="S858" s="134"/>
    </row>
    <row r="859" spans="1:19" s="75" customFormat="1" ht="14.6">
      <c r="A859" s="90"/>
      <c r="B859" s="90"/>
      <c r="D859" s="91"/>
      <c r="E859" s="77"/>
      <c r="M859" s="133"/>
      <c r="N859" s="135"/>
      <c r="O859" s="133"/>
      <c r="P859" s="136"/>
      <c r="Q859" s="134"/>
      <c r="R859" s="134"/>
      <c r="S859" s="134"/>
    </row>
    <row r="860" spans="1:19" s="75" customFormat="1" ht="14.6">
      <c r="A860" s="90"/>
      <c r="B860" s="90"/>
      <c r="D860" s="91"/>
      <c r="E860" s="77"/>
      <c r="M860" s="133"/>
      <c r="N860" s="135"/>
      <c r="O860" s="133"/>
      <c r="P860" s="136"/>
      <c r="Q860" s="134"/>
      <c r="R860" s="134"/>
      <c r="S860" s="134"/>
    </row>
    <row r="861" spans="1:19" s="75" customFormat="1" ht="14.6">
      <c r="A861" s="90"/>
      <c r="B861" s="90"/>
      <c r="D861" s="91"/>
      <c r="E861" s="77"/>
      <c r="M861" s="133"/>
      <c r="N861" s="135"/>
      <c r="O861" s="133"/>
      <c r="P861" s="136"/>
      <c r="Q861" s="134"/>
      <c r="R861" s="134"/>
      <c r="S861" s="134"/>
    </row>
    <row r="862" spans="1:19" s="75" customFormat="1" ht="14.6">
      <c r="A862" s="90"/>
      <c r="B862" s="90"/>
      <c r="D862" s="91"/>
      <c r="E862" s="77"/>
      <c r="M862" s="133"/>
      <c r="N862" s="135"/>
      <c r="O862" s="133"/>
      <c r="P862" s="136"/>
      <c r="Q862" s="134"/>
      <c r="R862" s="134"/>
      <c r="S862" s="134"/>
    </row>
    <row r="863" spans="1:19" s="75" customFormat="1" ht="14.6">
      <c r="A863" s="90"/>
      <c r="B863" s="90"/>
      <c r="D863" s="91"/>
      <c r="E863" s="77"/>
      <c r="M863" s="133"/>
      <c r="N863" s="135"/>
      <c r="O863" s="133"/>
      <c r="P863" s="136"/>
      <c r="Q863" s="134"/>
      <c r="R863" s="134"/>
      <c r="S863" s="134"/>
    </row>
    <row r="864" spans="1:19" s="75" customFormat="1" ht="14.6">
      <c r="A864" s="90"/>
      <c r="B864" s="90"/>
      <c r="D864" s="91"/>
      <c r="E864" s="77"/>
      <c r="M864" s="133"/>
      <c r="N864" s="135"/>
      <c r="O864" s="133"/>
      <c r="P864" s="136"/>
      <c r="Q864" s="134"/>
      <c r="R864" s="134"/>
      <c r="S864" s="134"/>
    </row>
    <row r="865" spans="1:19" s="75" customFormat="1" ht="14.6">
      <c r="A865" s="90"/>
      <c r="B865" s="90"/>
      <c r="D865" s="91"/>
      <c r="E865" s="77"/>
      <c r="M865" s="133"/>
      <c r="N865" s="135"/>
      <c r="O865" s="133"/>
      <c r="P865" s="136"/>
      <c r="Q865" s="134"/>
      <c r="R865" s="134"/>
      <c r="S865" s="134"/>
    </row>
    <row r="866" spans="1:19" s="75" customFormat="1" ht="14.6">
      <c r="A866" s="90"/>
      <c r="B866" s="90"/>
      <c r="D866" s="91"/>
      <c r="E866" s="77"/>
      <c r="M866" s="133"/>
      <c r="N866" s="135"/>
      <c r="O866" s="133"/>
      <c r="P866" s="136"/>
      <c r="Q866" s="134"/>
      <c r="R866" s="134"/>
      <c r="S866" s="134"/>
    </row>
    <row r="867" spans="1:19" s="75" customFormat="1" ht="14.6">
      <c r="A867" s="90"/>
      <c r="B867" s="90"/>
      <c r="D867" s="91"/>
      <c r="E867" s="77"/>
      <c r="M867" s="133"/>
      <c r="N867" s="135"/>
      <c r="O867" s="133"/>
      <c r="P867" s="136"/>
      <c r="Q867" s="134"/>
      <c r="R867" s="134"/>
      <c r="S867" s="134"/>
    </row>
    <row r="868" spans="1:19" s="75" customFormat="1" ht="14.6">
      <c r="A868" s="90"/>
      <c r="B868" s="90"/>
      <c r="D868" s="91"/>
      <c r="E868" s="77"/>
      <c r="M868" s="133"/>
      <c r="N868" s="135"/>
      <c r="O868" s="133"/>
      <c r="P868" s="136"/>
      <c r="Q868" s="134"/>
      <c r="R868" s="134"/>
      <c r="S868" s="134"/>
    </row>
    <row r="869" spans="1:19" s="75" customFormat="1" ht="14.6">
      <c r="A869" s="90"/>
      <c r="B869" s="90"/>
      <c r="D869" s="91"/>
      <c r="E869" s="77"/>
      <c r="M869" s="133"/>
      <c r="N869" s="135"/>
      <c r="O869" s="133"/>
      <c r="P869" s="136"/>
      <c r="Q869" s="134"/>
      <c r="R869" s="134"/>
      <c r="S869" s="134"/>
    </row>
    <row r="870" spans="1:19" s="75" customFormat="1" ht="14.6">
      <c r="A870" s="90"/>
      <c r="B870" s="90"/>
      <c r="D870" s="91"/>
      <c r="E870" s="77"/>
      <c r="M870" s="133"/>
      <c r="N870" s="135"/>
      <c r="O870" s="133"/>
      <c r="P870" s="136"/>
      <c r="Q870" s="134"/>
      <c r="R870" s="134"/>
      <c r="S870" s="134"/>
    </row>
    <row r="871" spans="1:19" s="75" customFormat="1" ht="14.6">
      <c r="A871" s="90"/>
      <c r="B871" s="90"/>
      <c r="D871" s="91"/>
      <c r="E871" s="77"/>
      <c r="M871" s="133"/>
      <c r="N871" s="135"/>
      <c r="O871" s="133"/>
      <c r="P871" s="136"/>
      <c r="Q871" s="134"/>
      <c r="R871" s="134"/>
      <c r="S871" s="134"/>
    </row>
    <row r="872" spans="1:19" s="75" customFormat="1" ht="14.6">
      <c r="A872" s="90"/>
      <c r="B872" s="90"/>
      <c r="D872" s="91"/>
      <c r="E872" s="77"/>
      <c r="M872" s="133"/>
      <c r="N872" s="135"/>
      <c r="O872" s="133"/>
      <c r="P872" s="136"/>
      <c r="Q872" s="134"/>
      <c r="R872" s="134"/>
      <c r="S872" s="134"/>
    </row>
    <row r="873" spans="1:19" s="75" customFormat="1" ht="14.6">
      <c r="A873" s="90"/>
      <c r="B873" s="90"/>
      <c r="D873" s="91"/>
      <c r="E873" s="77"/>
      <c r="M873" s="133"/>
      <c r="N873" s="135"/>
      <c r="O873" s="133"/>
      <c r="P873" s="136"/>
      <c r="Q873" s="134"/>
      <c r="R873" s="134"/>
      <c r="S873" s="134"/>
    </row>
    <row r="874" spans="1:19" s="75" customFormat="1" ht="14.6">
      <c r="A874" s="90"/>
      <c r="B874" s="90"/>
      <c r="D874" s="91"/>
      <c r="E874" s="77"/>
      <c r="M874" s="133"/>
      <c r="N874" s="135"/>
      <c r="O874" s="133"/>
      <c r="P874" s="136"/>
      <c r="Q874" s="134"/>
      <c r="R874" s="134"/>
      <c r="S874" s="134"/>
    </row>
    <row r="875" spans="1:19" s="75" customFormat="1" ht="14.6">
      <c r="A875" s="90"/>
      <c r="B875" s="90"/>
      <c r="D875" s="91"/>
      <c r="E875" s="77"/>
      <c r="M875" s="133"/>
      <c r="N875" s="135"/>
      <c r="O875" s="133"/>
      <c r="P875" s="136"/>
      <c r="Q875" s="134"/>
      <c r="R875" s="134"/>
      <c r="S875" s="134"/>
    </row>
    <row r="876" spans="1:19" s="75" customFormat="1" ht="14.6">
      <c r="A876" s="90"/>
      <c r="B876" s="90"/>
      <c r="D876" s="91"/>
      <c r="E876" s="77"/>
      <c r="M876" s="133"/>
      <c r="N876" s="135"/>
      <c r="O876" s="133"/>
      <c r="P876" s="136"/>
      <c r="Q876" s="134"/>
      <c r="R876" s="134"/>
      <c r="S876" s="134"/>
    </row>
    <row r="877" spans="1:19" s="75" customFormat="1" ht="14.6">
      <c r="A877" s="90"/>
      <c r="B877" s="90"/>
      <c r="D877" s="91"/>
      <c r="E877" s="77"/>
      <c r="M877" s="133"/>
      <c r="N877" s="135"/>
      <c r="O877" s="133"/>
      <c r="P877" s="136"/>
      <c r="Q877" s="134"/>
      <c r="R877" s="134"/>
      <c r="S877" s="134"/>
    </row>
    <row r="878" spans="1:19" s="75" customFormat="1" ht="14.6">
      <c r="A878" s="90"/>
      <c r="B878" s="90"/>
      <c r="D878" s="91"/>
      <c r="E878" s="77"/>
      <c r="M878" s="133"/>
      <c r="N878" s="135"/>
      <c r="O878" s="133"/>
      <c r="P878" s="136"/>
      <c r="Q878" s="134"/>
      <c r="R878" s="134"/>
      <c r="S878" s="134"/>
    </row>
    <row r="879" spans="1:19" s="75" customFormat="1" ht="14.6">
      <c r="A879" s="90"/>
      <c r="B879" s="90"/>
      <c r="D879" s="91"/>
      <c r="E879" s="77"/>
      <c r="M879" s="133"/>
      <c r="N879" s="135"/>
      <c r="O879" s="133"/>
      <c r="P879" s="136"/>
      <c r="Q879" s="134"/>
      <c r="R879" s="134"/>
      <c r="S879" s="134"/>
    </row>
    <row r="880" spans="1:19" s="75" customFormat="1" ht="14.6">
      <c r="A880" s="90"/>
      <c r="B880" s="90"/>
      <c r="D880" s="91"/>
      <c r="E880" s="77"/>
      <c r="M880" s="133"/>
      <c r="N880" s="135"/>
      <c r="O880" s="133"/>
      <c r="P880" s="136"/>
      <c r="Q880" s="134"/>
      <c r="R880" s="134"/>
      <c r="S880" s="134"/>
    </row>
    <row r="881" spans="1:19" s="75" customFormat="1" ht="14.6">
      <c r="A881" s="90"/>
      <c r="B881" s="90"/>
      <c r="D881" s="91"/>
      <c r="E881" s="77"/>
      <c r="M881" s="133"/>
      <c r="N881" s="135"/>
      <c r="O881" s="133"/>
      <c r="P881" s="136"/>
      <c r="Q881" s="134"/>
      <c r="R881" s="134"/>
      <c r="S881" s="134"/>
    </row>
    <row r="882" spans="1:19" s="75" customFormat="1" ht="14.6">
      <c r="A882" s="90"/>
      <c r="B882" s="90"/>
      <c r="D882" s="91"/>
      <c r="E882" s="77"/>
      <c r="M882" s="133"/>
      <c r="N882" s="135"/>
      <c r="O882" s="133"/>
      <c r="P882" s="136"/>
      <c r="Q882" s="134"/>
      <c r="R882" s="134"/>
      <c r="S882" s="134"/>
    </row>
    <row r="883" spans="1:19" s="75" customFormat="1" ht="14.6">
      <c r="A883" s="90"/>
      <c r="B883" s="90"/>
      <c r="D883" s="91"/>
      <c r="E883" s="77"/>
      <c r="M883" s="133"/>
      <c r="N883" s="135"/>
      <c r="O883" s="133"/>
      <c r="P883" s="136"/>
      <c r="Q883" s="134"/>
      <c r="R883" s="134"/>
      <c r="S883" s="134"/>
    </row>
    <row r="884" spans="1:19" s="75" customFormat="1" ht="14.6">
      <c r="A884" s="90"/>
      <c r="B884" s="90"/>
      <c r="D884" s="91"/>
      <c r="E884" s="77"/>
      <c r="M884" s="133"/>
      <c r="N884" s="135"/>
      <c r="O884" s="133"/>
      <c r="P884" s="136"/>
      <c r="Q884" s="134"/>
      <c r="R884" s="134"/>
      <c r="S884" s="134"/>
    </row>
    <row r="885" spans="1:19" s="75" customFormat="1" ht="14.6">
      <c r="A885" s="90"/>
      <c r="B885" s="90"/>
      <c r="D885" s="91"/>
      <c r="E885" s="77"/>
      <c r="M885" s="133"/>
      <c r="N885" s="135"/>
      <c r="O885" s="133"/>
      <c r="P885" s="136"/>
      <c r="Q885" s="134"/>
      <c r="R885" s="134"/>
      <c r="S885" s="134"/>
    </row>
    <row r="886" spans="1:19" s="75" customFormat="1" ht="14.6">
      <c r="A886" s="90"/>
      <c r="B886" s="90"/>
      <c r="D886" s="91"/>
      <c r="E886" s="77"/>
      <c r="M886" s="133"/>
      <c r="N886" s="135"/>
      <c r="O886" s="133"/>
      <c r="P886" s="136"/>
      <c r="Q886" s="134"/>
      <c r="R886" s="134"/>
      <c r="S886" s="134"/>
    </row>
    <row r="887" spans="1:19" s="75" customFormat="1" ht="14.6">
      <c r="A887" s="90"/>
      <c r="B887" s="90"/>
      <c r="D887" s="91"/>
      <c r="E887" s="77"/>
      <c r="M887" s="133"/>
      <c r="N887" s="135"/>
      <c r="O887" s="133"/>
      <c r="P887" s="136"/>
      <c r="Q887" s="134"/>
      <c r="R887" s="134"/>
      <c r="S887" s="134"/>
    </row>
    <row r="888" spans="1:19" s="75" customFormat="1" ht="14.6">
      <c r="A888" s="90"/>
      <c r="B888" s="90"/>
      <c r="D888" s="91"/>
      <c r="E888" s="77"/>
      <c r="M888" s="133"/>
      <c r="N888" s="135"/>
      <c r="O888" s="133"/>
      <c r="P888" s="136"/>
      <c r="Q888" s="134"/>
      <c r="R888" s="134"/>
      <c r="S888" s="134"/>
    </row>
    <row r="889" spans="1:19" s="75" customFormat="1" ht="14.6">
      <c r="A889" s="90"/>
      <c r="B889" s="90"/>
      <c r="D889" s="91"/>
      <c r="E889" s="77"/>
      <c r="M889" s="133"/>
      <c r="N889" s="135"/>
      <c r="O889" s="133"/>
      <c r="P889" s="136"/>
      <c r="Q889" s="134"/>
      <c r="R889" s="134"/>
      <c r="S889" s="134"/>
    </row>
    <row r="890" spans="1:19" s="75" customFormat="1" ht="14.6">
      <c r="A890" s="90"/>
      <c r="B890" s="90"/>
      <c r="D890" s="91"/>
      <c r="E890" s="77"/>
      <c r="M890" s="133"/>
      <c r="N890" s="135"/>
      <c r="O890" s="133"/>
      <c r="P890" s="136"/>
      <c r="Q890" s="134"/>
      <c r="R890" s="134"/>
      <c r="S890" s="134"/>
    </row>
    <row r="891" spans="1:19" s="75" customFormat="1" ht="14.6">
      <c r="A891" s="90"/>
      <c r="B891" s="90"/>
      <c r="D891" s="91"/>
      <c r="E891" s="77"/>
      <c r="M891" s="133"/>
      <c r="N891" s="135"/>
      <c r="O891" s="133"/>
      <c r="P891" s="136"/>
      <c r="Q891" s="134"/>
      <c r="R891" s="134"/>
      <c r="S891" s="134"/>
    </row>
    <row r="892" spans="1:19" s="75" customFormat="1" ht="14.6">
      <c r="A892" s="90"/>
      <c r="B892" s="90"/>
      <c r="D892" s="91"/>
      <c r="E892" s="77"/>
      <c r="M892" s="133"/>
      <c r="N892" s="135"/>
      <c r="O892" s="133"/>
      <c r="P892" s="136"/>
      <c r="Q892" s="134"/>
      <c r="R892" s="134"/>
      <c r="S892" s="134"/>
    </row>
    <row r="893" spans="1:19" s="75" customFormat="1" ht="14.6">
      <c r="A893" s="90"/>
      <c r="B893" s="90"/>
      <c r="D893" s="91"/>
      <c r="E893" s="77"/>
      <c r="M893" s="133"/>
      <c r="N893" s="135"/>
      <c r="O893" s="133"/>
      <c r="P893" s="136"/>
      <c r="Q893" s="134"/>
      <c r="R893" s="134"/>
      <c r="S893" s="134"/>
    </row>
    <row r="894" spans="1:19" s="75" customFormat="1" ht="14.6">
      <c r="A894" s="90"/>
      <c r="B894" s="90"/>
      <c r="D894" s="91"/>
      <c r="E894" s="77"/>
      <c r="M894" s="133"/>
      <c r="N894" s="135"/>
      <c r="O894" s="133"/>
      <c r="P894" s="136"/>
      <c r="Q894" s="134"/>
      <c r="R894" s="134"/>
      <c r="S894" s="134"/>
    </row>
    <row r="895" spans="1:19" s="75" customFormat="1" ht="14.6">
      <c r="A895" s="90"/>
      <c r="B895" s="90"/>
      <c r="D895" s="91"/>
      <c r="E895" s="77"/>
      <c r="M895" s="133"/>
      <c r="N895" s="135"/>
      <c r="O895" s="133"/>
      <c r="P895" s="136"/>
      <c r="Q895" s="134"/>
      <c r="R895" s="134"/>
      <c r="S895" s="134"/>
    </row>
    <row r="896" spans="1:19" s="75" customFormat="1" ht="14.6">
      <c r="A896" s="90"/>
      <c r="B896" s="90"/>
      <c r="D896" s="91"/>
      <c r="E896" s="77"/>
      <c r="M896" s="133"/>
      <c r="N896" s="135"/>
      <c r="O896" s="133"/>
      <c r="P896" s="136"/>
      <c r="Q896" s="134"/>
      <c r="R896" s="134"/>
      <c r="S896" s="134"/>
    </row>
    <row r="897" spans="1:19" s="75" customFormat="1" ht="14.6">
      <c r="A897" s="90"/>
      <c r="B897" s="90"/>
      <c r="D897" s="91"/>
      <c r="E897" s="77"/>
      <c r="M897" s="133"/>
      <c r="N897" s="135"/>
      <c r="O897" s="133"/>
      <c r="P897" s="136"/>
      <c r="Q897" s="134"/>
      <c r="R897" s="134"/>
      <c r="S897" s="134"/>
    </row>
    <row r="898" spans="1:19" s="75" customFormat="1" ht="14.6">
      <c r="A898" s="90"/>
      <c r="B898" s="90"/>
      <c r="D898" s="91"/>
      <c r="E898" s="77"/>
      <c r="M898" s="133"/>
      <c r="N898" s="135"/>
      <c r="O898" s="133"/>
      <c r="P898" s="136"/>
      <c r="Q898" s="134"/>
      <c r="R898" s="134"/>
      <c r="S898" s="134"/>
    </row>
    <row r="899" spans="1:19" s="75" customFormat="1" ht="14.6">
      <c r="A899" s="90"/>
      <c r="B899" s="90"/>
      <c r="D899" s="91"/>
      <c r="E899" s="77"/>
      <c r="M899" s="133"/>
      <c r="N899" s="135"/>
      <c r="O899" s="133"/>
      <c r="P899" s="136"/>
      <c r="Q899" s="134"/>
      <c r="R899" s="134"/>
      <c r="S899" s="134"/>
    </row>
    <row r="900" spans="1:19" s="75" customFormat="1" ht="14.6">
      <c r="A900" s="90"/>
      <c r="B900" s="90"/>
      <c r="D900" s="91"/>
      <c r="E900" s="77"/>
      <c r="M900" s="133"/>
      <c r="N900" s="135"/>
      <c r="O900" s="133"/>
      <c r="P900" s="136"/>
      <c r="Q900" s="134"/>
      <c r="R900" s="134"/>
      <c r="S900" s="134"/>
    </row>
    <row r="901" spans="1:19" s="75" customFormat="1" ht="14.6">
      <c r="A901" s="90"/>
      <c r="B901" s="90"/>
      <c r="D901" s="91"/>
      <c r="E901" s="77"/>
      <c r="M901" s="133"/>
      <c r="N901" s="135"/>
      <c r="O901" s="133"/>
      <c r="P901" s="136"/>
      <c r="Q901" s="134"/>
      <c r="R901" s="134"/>
      <c r="S901" s="134"/>
    </row>
    <row r="902" spans="1:19" s="75" customFormat="1" ht="14.6">
      <c r="A902" s="90"/>
      <c r="B902" s="90"/>
      <c r="D902" s="91"/>
      <c r="E902" s="77"/>
      <c r="M902" s="133"/>
      <c r="N902" s="135"/>
      <c r="O902" s="133"/>
      <c r="P902" s="136"/>
      <c r="Q902" s="134"/>
      <c r="R902" s="134"/>
      <c r="S902" s="134"/>
    </row>
    <row r="903" spans="1:19" s="75" customFormat="1" ht="14.6">
      <c r="A903" s="90"/>
      <c r="B903" s="90"/>
      <c r="D903" s="91"/>
      <c r="E903" s="77"/>
      <c r="M903" s="133"/>
      <c r="N903" s="135"/>
      <c r="O903" s="133"/>
      <c r="P903" s="136"/>
      <c r="Q903" s="134"/>
      <c r="R903" s="134"/>
      <c r="S903" s="134"/>
    </row>
    <row r="904" spans="1:19" s="75" customFormat="1" ht="14.6">
      <c r="A904" s="90"/>
      <c r="B904" s="90"/>
      <c r="D904" s="91"/>
      <c r="E904" s="77"/>
      <c r="M904" s="133"/>
      <c r="N904" s="135"/>
      <c r="O904" s="133"/>
      <c r="P904" s="136"/>
      <c r="Q904" s="134"/>
      <c r="R904" s="134"/>
      <c r="S904" s="134"/>
    </row>
    <row r="905" spans="1:19" s="75" customFormat="1" ht="14.6">
      <c r="A905" s="90"/>
      <c r="B905" s="90"/>
      <c r="D905" s="91"/>
      <c r="E905" s="77"/>
      <c r="M905" s="133"/>
      <c r="N905" s="135"/>
      <c r="O905" s="133"/>
      <c r="P905" s="136"/>
      <c r="Q905" s="134"/>
      <c r="R905" s="134"/>
      <c r="S905" s="134"/>
    </row>
    <row r="906" spans="1:19" s="75" customFormat="1" ht="14.6">
      <c r="A906" s="90"/>
      <c r="B906" s="90"/>
      <c r="D906" s="91"/>
      <c r="E906" s="77"/>
      <c r="M906" s="133"/>
      <c r="N906" s="135"/>
      <c r="O906" s="133"/>
      <c r="P906" s="136"/>
      <c r="Q906" s="134"/>
      <c r="R906" s="134"/>
      <c r="S906" s="134"/>
    </row>
    <row r="907" spans="1:19" s="75" customFormat="1" ht="14.6">
      <c r="A907" s="90"/>
      <c r="B907" s="90"/>
      <c r="D907" s="91"/>
      <c r="E907" s="77"/>
      <c r="M907" s="133"/>
      <c r="N907" s="135"/>
      <c r="O907" s="133"/>
      <c r="P907" s="136"/>
      <c r="Q907" s="134"/>
      <c r="R907" s="134"/>
      <c r="S907" s="134"/>
    </row>
    <row r="908" spans="1:19" s="75" customFormat="1" ht="14.6">
      <c r="A908" s="90"/>
      <c r="B908" s="90"/>
      <c r="D908" s="91"/>
      <c r="E908" s="77"/>
      <c r="M908" s="133"/>
      <c r="N908" s="135"/>
      <c r="O908" s="133"/>
      <c r="P908" s="136"/>
      <c r="Q908" s="134"/>
      <c r="R908" s="134"/>
      <c r="S908" s="134"/>
    </row>
    <row r="909" spans="1:19" s="75" customFormat="1" ht="14.6">
      <c r="A909" s="90"/>
      <c r="B909" s="90"/>
      <c r="D909" s="91"/>
      <c r="E909" s="77"/>
      <c r="M909" s="133"/>
      <c r="N909" s="135"/>
      <c r="O909" s="133"/>
      <c r="P909" s="136"/>
      <c r="Q909" s="134"/>
      <c r="R909" s="134"/>
      <c r="S909" s="134"/>
    </row>
    <row r="910" spans="1:19" s="75" customFormat="1" ht="14.6">
      <c r="A910" s="90"/>
      <c r="B910" s="90"/>
      <c r="D910" s="91"/>
      <c r="E910" s="77"/>
      <c r="M910" s="133"/>
      <c r="N910" s="135"/>
      <c r="O910" s="133"/>
      <c r="P910" s="136"/>
      <c r="Q910" s="134"/>
      <c r="R910" s="134"/>
      <c r="S910" s="134"/>
    </row>
    <row r="911" spans="1:19" s="75" customFormat="1" ht="14.6">
      <c r="A911" s="90"/>
      <c r="B911" s="90"/>
      <c r="D911" s="91"/>
      <c r="E911" s="77"/>
      <c r="M911" s="133"/>
      <c r="N911" s="135"/>
      <c r="O911" s="133"/>
      <c r="P911" s="136"/>
      <c r="Q911" s="134"/>
      <c r="R911" s="134"/>
      <c r="S911" s="134"/>
    </row>
    <row r="912" spans="1:19" s="75" customFormat="1" ht="14.6">
      <c r="A912" s="90"/>
      <c r="B912" s="90"/>
      <c r="D912" s="91"/>
      <c r="E912" s="77"/>
      <c r="M912" s="133"/>
      <c r="N912" s="135"/>
      <c r="O912" s="133"/>
      <c r="P912" s="136"/>
      <c r="Q912" s="134"/>
      <c r="R912" s="134"/>
      <c r="S912" s="134"/>
    </row>
    <row r="913" spans="1:19" s="75" customFormat="1" ht="14.6">
      <c r="A913" s="90"/>
      <c r="B913" s="90"/>
      <c r="D913" s="91"/>
      <c r="E913" s="77"/>
      <c r="M913" s="133"/>
      <c r="N913" s="135"/>
      <c r="O913" s="133"/>
      <c r="P913" s="136"/>
      <c r="Q913" s="134"/>
      <c r="R913" s="134"/>
      <c r="S913" s="134"/>
    </row>
    <row r="914" spans="1:19" s="75" customFormat="1" ht="14.6">
      <c r="A914" s="90"/>
      <c r="B914" s="90"/>
      <c r="D914" s="91"/>
      <c r="E914" s="77"/>
      <c r="M914" s="133"/>
      <c r="N914" s="135"/>
      <c r="O914" s="133"/>
      <c r="P914" s="136"/>
      <c r="Q914" s="134"/>
      <c r="R914" s="134"/>
      <c r="S914" s="134"/>
    </row>
    <row r="915" spans="1:19" s="75" customFormat="1" ht="14.6">
      <c r="A915" s="90"/>
      <c r="B915" s="90"/>
      <c r="D915" s="91"/>
      <c r="E915" s="77"/>
      <c r="M915" s="133"/>
      <c r="N915" s="135"/>
      <c r="O915" s="133"/>
      <c r="P915" s="136"/>
      <c r="Q915" s="134"/>
      <c r="R915" s="134"/>
      <c r="S915" s="134"/>
    </row>
    <row r="916" spans="1:19" s="75" customFormat="1" ht="14.6">
      <c r="A916" s="90"/>
      <c r="B916" s="90"/>
      <c r="D916" s="91"/>
      <c r="E916" s="77"/>
      <c r="M916" s="133"/>
      <c r="N916" s="135"/>
      <c r="O916" s="133"/>
      <c r="P916" s="136"/>
      <c r="Q916" s="134"/>
      <c r="R916" s="134"/>
      <c r="S916" s="134"/>
    </row>
    <row r="917" spans="1:19" s="75" customFormat="1" ht="14.6">
      <c r="A917" s="90"/>
      <c r="B917" s="90"/>
      <c r="D917" s="91"/>
      <c r="E917" s="77"/>
      <c r="M917" s="133"/>
      <c r="N917" s="135"/>
      <c r="O917" s="133"/>
      <c r="P917" s="136"/>
      <c r="Q917" s="134"/>
      <c r="R917" s="134"/>
      <c r="S917" s="134"/>
    </row>
    <row r="918" spans="1:19" s="75" customFormat="1" ht="14.6">
      <c r="A918" s="90"/>
      <c r="B918" s="90"/>
      <c r="D918" s="91"/>
      <c r="E918" s="77"/>
      <c r="M918" s="133"/>
      <c r="N918" s="135"/>
      <c r="O918" s="133"/>
      <c r="P918" s="136"/>
      <c r="Q918" s="134"/>
      <c r="R918" s="134"/>
      <c r="S918" s="134"/>
    </row>
    <row r="919" spans="1:19" s="75" customFormat="1" ht="14.6">
      <c r="A919" s="90"/>
      <c r="B919" s="90"/>
      <c r="D919" s="91"/>
      <c r="E919" s="77"/>
      <c r="M919" s="133"/>
      <c r="N919" s="135"/>
      <c r="O919" s="133"/>
      <c r="P919" s="136"/>
      <c r="Q919" s="134"/>
      <c r="R919" s="134"/>
      <c r="S919" s="134"/>
    </row>
    <row r="920" spans="1:19" s="75" customFormat="1" ht="14.6">
      <c r="A920" s="90"/>
      <c r="B920" s="90"/>
      <c r="D920" s="91"/>
      <c r="E920" s="77"/>
      <c r="M920" s="133"/>
      <c r="N920" s="135"/>
      <c r="O920" s="133"/>
      <c r="P920" s="136"/>
      <c r="Q920" s="134"/>
      <c r="R920" s="134"/>
      <c r="S920" s="134"/>
    </row>
    <row r="921" spans="1:19" s="75" customFormat="1" ht="14.6">
      <c r="A921" s="90"/>
      <c r="B921" s="90"/>
      <c r="D921" s="91"/>
      <c r="E921" s="77"/>
      <c r="M921" s="133"/>
      <c r="N921" s="135"/>
      <c r="O921" s="133"/>
      <c r="P921" s="136"/>
      <c r="Q921" s="134"/>
      <c r="R921" s="134"/>
      <c r="S921" s="134"/>
    </row>
    <row r="922" spans="1:19" s="75" customFormat="1" ht="14.6">
      <c r="A922" s="90"/>
      <c r="B922" s="90"/>
      <c r="D922" s="91"/>
      <c r="E922" s="77"/>
      <c r="M922" s="133"/>
      <c r="N922" s="135"/>
      <c r="O922" s="133"/>
      <c r="P922" s="136"/>
      <c r="Q922" s="134"/>
      <c r="R922" s="134"/>
      <c r="S922" s="134"/>
    </row>
    <row r="923" spans="1:19" s="75" customFormat="1" ht="14.6">
      <c r="A923" s="90"/>
      <c r="B923" s="90"/>
      <c r="D923" s="91"/>
      <c r="E923" s="77"/>
      <c r="M923" s="133"/>
      <c r="N923" s="135"/>
      <c r="O923" s="133"/>
      <c r="P923" s="136"/>
      <c r="Q923" s="134"/>
      <c r="R923" s="134"/>
      <c r="S923" s="134"/>
    </row>
    <row r="924" spans="1:19" s="75" customFormat="1" ht="14.6">
      <c r="A924" s="90"/>
      <c r="B924" s="90"/>
      <c r="D924" s="91"/>
      <c r="E924" s="77"/>
      <c r="M924" s="133"/>
      <c r="N924" s="135"/>
      <c r="O924" s="133"/>
      <c r="P924" s="136"/>
      <c r="Q924" s="134"/>
      <c r="R924" s="134"/>
      <c r="S924" s="134"/>
    </row>
    <row r="925" spans="1:19" s="75" customFormat="1" ht="14.6">
      <c r="A925" s="90"/>
      <c r="B925" s="90"/>
      <c r="D925" s="91"/>
      <c r="E925" s="77"/>
      <c r="M925" s="133"/>
      <c r="N925" s="135"/>
      <c r="O925" s="133"/>
      <c r="P925" s="136"/>
      <c r="Q925" s="134"/>
      <c r="R925" s="134"/>
      <c r="S925" s="134"/>
    </row>
    <row r="926" spans="1:19" s="75" customFormat="1" ht="14.6">
      <c r="A926" s="90"/>
      <c r="B926" s="90"/>
      <c r="D926" s="91"/>
      <c r="E926" s="77"/>
      <c r="M926" s="133"/>
      <c r="N926" s="135"/>
      <c r="O926" s="133"/>
      <c r="P926" s="136"/>
      <c r="Q926" s="134"/>
      <c r="R926" s="134"/>
      <c r="S926" s="134"/>
    </row>
    <row r="927" spans="1:19" s="75" customFormat="1" ht="14.6">
      <c r="A927" s="90"/>
      <c r="B927" s="90"/>
      <c r="D927" s="91"/>
      <c r="E927" s="77"/>
      <c r="M927" s="133"/>
      <c r="N927" s="135"/>
      <c r="O927" s="133"/>
      <c r="P927" s="136"/>
      <c r="Q927" s="134"/>
      <c r="R927" s="134"/>
      <c r="S927" s="134"/>
    </row>
    <row r="928" spans="1:19" s="75" customFormat="1" ht="14.6">
      <c r="A928" s="90"/>
      <c r="B928" s="90"/>
      <c r="D928" s="91"/>
      <c r="E928" s="77"/>
      <c r="M928" s="133"/>
      <c r="N928" s="135"/>
      <c r="O928" s="133"/>
      <c r="P928" s="136"/>
      <c r="Q928" s="134"/>
      <c r="R928" s="134"/>
      <c r="S928" s="134"/>
    </row>
    <row r="929" spans="1:19" s="75" customFormat="1" ht="14.6">
      <c r="A929" s="90"/>
      <c r="B929" s="90"/>
      <c r="D929" s="91"/>
      <c r="E929" s="77"/>
      <c r="M929" s="133"/>
      <c r="N929" s="135"/>
      <c r="O929" s="133"/>
      <c r="P929" s="136"/>
      <c r="Q929" s="134"/>
      <c r="R929" s="134"/>
      <c r="S929" s="134"/>
    </row>
    <row r="930" spans="1:19" s="75" customFormat="1" ht="14.6">
      <c r="A930" s="90"/>
      <c r="B930" s="90"/>
      <c r="D930" s="91"/>
      <c r="E930" s="77"/>
      <c r="M930" s="133"/>
      <c r="N930" s="135"/>
      <c r="O930" s="133"/>
      <c r="P930" s="136"/>
      <c r="Q930" s="134"/>
      <c r="R930" s="134"/>
      <c r="S930" s="134"/>
    </row>
    <row r="931" spans="1:19" s="75" customFormat="1" ht="14.6">
      <c r="A931" s="90"/>
      <c r="B931" s="90"/>
      <c r="D931" s="91"/>
      <c r="E931" s="77"/>
      <c r="M931" s="133"/>
      <c r="N931" s="135"/>
      <c r="O931" s="133"/>
      <c r="P931" s="136"/>
      <c r="Q931" s="134"/>
      <c r="R931" s="134"/>
      <c r="S931" s="134"/>
    </row>
    <row r="932" spans="1:19" s="75" customFormat="1" ht="14.6">
      <c r="A932" s="90"/>
      <c r="B932" s="90"/>
      <c r="D932" s="91"/>
      <c r="E932" s="77"/>
      <c r="M932" s="133"/>
      <c r="N932" s="135"/>
      <c r="O932" s="133"/>
      <c r="P932" s="136"/>
      <c r="Q932" s="134"/>
      <c r="R932" s="134"/>
      <c r="S932" s="134"/>
    </row>
    <row r="933" spans="1:19" s="75" customFormat="1" ht="14.6">
      <c r="A933" s="90"/>
      <c r="B933" s="90"/>
      <c r="D933" s="91"/>
      <c r="E933" s="77"/>
      <c r="M933" s="133"/>
      <c r="N933" s="135"/>
      <c r="O933" s="133"/>
      <c r="P933" s="136"/>
      <c r="Q933" s="134"/>
      <c r="R933" s="134"/>
      <c r="S933" s="134"/>
    </row>
    <row r="934" spans="1:19" s="75" customFormat="1" ht="14.6">
      <c r="A934" s="90"/>
      <c r="B934" s="90"/>
      <c r="D934" s="91"/>
      <c r="E934" s="77"/>
      <c r="M934" s="133"/>
      <c r="N934" s="135"/>
      <c r="O934" s="133"/>
      <c r="P934" s="136"/>
      <c r="Q934" s="134"/>
      <c r="R934" s="134"/>
      <c r="S934" s="134"/>
    </row>
    <row r="935" spans="1:19" s="75" customFormat="1" ht="14.6">
      <c r="A935" s="90"/>
      <c r="B935" s="90"/>
      <c r="D935" s="91"/>
      <c r="E935" s="77"/>
      <c r="M935" s="133"/>
      <c r="N935" s="135"/>
      <c r="O935" s="133"/>
      <c r="P935" s="136"/>
      <c r="Q935" s="134"/>
      <c r="R935" s="134"/>
      <c r="S935" s="134"/>
    </row>
    <row r="936" spans="1:19" s="75" customFormat="1" ht="14.6">
      <c r="A936" s="90"/>
      <c r="B936" s="90"/>
      <c r="D936" s="91"/>
      <c r="E936" s="77"/>
      <c r="M936" s="133"/>
      <c r="N936" s="135"/>
      <c r="O936" s="133"/>
      <c r="P936" s="136"/>
      <c r="Q936" s="134"/>
      <c r="R936" s="134"/>
      <c r="S936" s="134"/>
    </row>
    <row r="937" spans="1:19" s="75" customFormat="1" ht="14.6">
      <c r="A937" s="90"/>
      <c r="B937" s="90"/>
      <c r="D937" s="91"/>
      <c r="E937" s="77"/>
      <c r="M937" s="133"/>
      <c r="N937" s="135"/>
      <c r="O937" s="133"/>
      <c r="P937" s="136"/>
      <c r="Q937" s="134"/>
      <c r="R937" s="134"/>
      <c r="S937" s="134"/>
    </row>
    <row r="938" spans="1:19" s="75" customFormat="1" ht="14.6">
      <c r="A938" s="90"/>
      <c r="B938" s="90"/>
      <c r="D938" s="91"/>
      <c r="E938" s="77"/>
      <c r="M938" s="133"/>
      <c r="N938" s="135"/>
      <c r="O938" s="133"/>
      <c r="P938" s="136"/>
      <c r="Q938" s="134"/>
      <c r="R938" s="134"/>
      <c r="S938" s="134"/>
    </row>
    <row r="939" spans="1:19" s="75" customFormat="1" ht="14.6">
      <c r="A939" s="90"/>
      <c r="B939" s="90"/>
      <c r="D939" s="91"/>
      <c r="E939" s="77"/>
      <c r="M939" s="133"/>
      <c r="N939" s="135"/>
      <c r="O939" s="133"/>
      <c r="P939" s="136"/>
      <c r="Q939" s="134"/>
      <c r="R939" s="134"/>
      <c r="S939" s="134"/>
    </row>
    <row r="940" spans="1:19" s="75" customFormat="1" ht="14.6">
      <c r="A940" s="90"/>
      <c r="B940" s="90"/>
      <c r="D940" s="91"/>
      <c r="E940" s="77"/>
      <c r="M940" s="133"/>
      <c r="N940" s="135"/>
      <c r="O940" s="133"/>
      <c r="P940" s="136"/>
      <c r="Q940" s="134"/>
      <c r="R940" s="134"/>
      <c r="S940" s="134"/>
    </row>
    <row r="941" spans="1:19" s="75" customFormat="1" ht="14.6">
      <c r="A941" s="90"/>
      <c r="B941" s="90"/>
      <c r="D941" s="91"/>
      <c r="E941" s="77"/>
      <c r="M941" s="133"/>
      <c r="N941" s="135"/>
      <c r="O941" s="133"/>
      <c r="P941" s="136"/>
      <c r="Q941" s="134"/>
      <c r="R941" s="134"/>
      <c r="S941" s="134"/>
    </row>
    <row r="942" spans="1:19" s="75" customFormat="1" ht="14.6">
      <c r="A942" s="90"/>
      <c r="B942" s="90"/>
      <c r="D942" s="91"/>
      <c r="E942" s="77"/>
      <c r="M942" s="133"/>
      <c r="N942" s="135"/>
      <c r="O942" s="133"/>
      <c r="P942" s="136"/>
      <c r="Q942" s="134"/>
      <c r="R942" s="134"/>
      <c r="S942" s="134"/>
    </row>
    <row r="943" spans="1:19" s="75" customFormat="1" ht="14.6">
      <c r="A943" s="90"/>
      <c r="B943" s="90"/>
      <c r="D943" s="91"/>
      <c r="E943" s="77"/>
      <c r="M943" s="133"/>
      <c r="N943" s="135"/>
      <c r="O943" s="133"/>
      <c r="P943" s="136"/>
      <c r="Q943" s="134"/>
      <c r="R943" s="134"/>
      <c r="S943" s="134"/>
    </row>
    <row r="944" spans="1:19" s="75" customFormat="1" ht="14.6">
      <c r="A944" s="90"/>
      <c r="B944" s="90"/>
      <c r="D944" s="91"/>
      <c r="E944" s="77"/>
      <c r="M944" s="133"/>
      <c r="N944" s="135"/>
      <c r="O944" s="133"/>
      <c r="P944" s="136"/>
      <c r="Q944" s="134"/>
      <c r="R944" s="134"/>
      <c r="S944" s="134"/>
    </row>
    <row r="945" spans="1:19" s="75" customFormat="1" ht="14.6">
      <c r="A945" s="90"/>
      <c r="B945" s="90"/>
      <c r="D945" s="91"/>
      <c r="E945" s="77"/>
      <c r="M945" s="133"/>
      <c r="N945" s="135"/>
      <c r="O945" s="133"/>
      <c r="P945" s="136"/>
      <c r="Q945" s="134"/>
      <c r="R945" s="134"/>
      <c r="S945" s="134"/>
    </row>
    <row r="946" spans="1:19" s="75" customFormat="1" ht="14.6">
      <c r="A946" s="90"/>
      <c r="B946" s="90"/>
      <c r="D946" s="91"/>
      <c r="E946" s="77"/>
      <c r="M946" s="133"/>
      <c r="N946" s="135"/>
      <c r="O946" s="133"/>
      <c r="P946" s="136"/>
      <c r="Q946" s="134"/>
      <c r="R946" s="134"/>
      <c r="S946" s="134"/>
    </row>
    <row r="947" spans="1:19" s="75" customFormat="1" ht="14.6">
      <c r="A947" s="90"/>
      <c r="B947" s="90"/>
      <c r="D947" s="91"/>
      <c r="E947" s="77"/>
      <c r="M947" s="133"/>
      <c r="N947" s="135"/>
      <c r="O947" s="133"/>
      <c r="P947" s="136"/>
      <c r="Q947" s="134"/>
      <c r="R947" s="134"/>
      <c r="S947" s="134"/>
    </row>
    <row r="948" spans="1:19" s="75" customFormat="1" ht="14.6">
      <c r="A948" s="90"/>
      <c r="B948" s="90"/>
      <c r="D948" s="91"/>
      <c r="E948" s="77"/>
      <c r="M948" s="133"/>
      <c r="N948" s="135"/>
      <c r="O948" s="133"/>
      <c r="P948" s="136"/>
      <c r="Q948" s="134"/>
      <c r="R948" s="134"/>
      <c r="S948" s="134"/>
    </row>
    <row r="949" spans="1:19" s="75" customFormat="1" ht="14.6">
      <c r="A949" s="90"/>
      <c r="B949" s="90"/>
      <c r="D949" s="91"/>
      <c r="E949" s="77"/>
      <c r="M949" s="133"/>
      <c r="N949" s="135"/>
      <c r="O949" s="133"/>
      <c r="P949" s="136"/>
      <c r="Q949" s="134"/>
      <c r="R949" s="134"/>
      <c r="S949" s="134"/>
    </row>
    <row r="950" spans="1:19" s="75" customFormat="1" ht="14.6">
      <c r="A950" s="90"/>
      <c r="B950" s="90"/>
      <c r="D950" s="91"/>
      <c r="E950" s="77"/>
      <c r="M950" s="133"/>
      <c r="N950" s="135"/>
      <c r="O950" s="133"/>
      <c r="P950" s="136"/>
      <c r="Q950" s="134"/>
      <c r="R950" s="134"/>
      <c r="S950" s="134"/>
    </row>
    <row r="951" spans="1:19" s="75" customFormat="1" ht="14.6">
      <c r="A951" s="90"/>
      <c r="B951" s="90"/>
      <c r="D951" s="91"/>
      <c r="E951" s="77"/>
      <c r="M951" s="133"/>
      <c r="N951" s="135"/>
      <c r="O951" s="133"/>
      <c r="P951" s="136"/>
      <c r="Q951" s="134"/>
      <c r="R951" s="134"/>
      <c r="S951" s="134"/>
    </row>
    <row r="952" spans="1:19" s="75" customFormat="1" ht="14.6">
      <c r="A952" s="90"/>
      <c r="B952" s="90"/>
      <c r="D952" s="91"/>
      <c r="E952" s="77"/>
      <c r="M952" s="133"/>
      <c r="N952" s="135"/>
      <c r="O952" s="133"/>
      <c r="P952" s="136"/>
      <c r="Q952" s="134"/>
      <c r="R952" s="134"/>
      <c r="S952" s="134"/>
    </row>
    <row r="953" spans="1:19" s="75" customFormat="1" ht="14.6">
      <c r="A953" s="90"/>
      <c r="B953" s="90"/>
      <c r="D953" s="91"/>
      <c r="E953" s="77"/>
      <c r="M953" s="133"/>
      <c r="N953" s="135"/>
      <c r="O953" s="133"/>
      <c r="P953" s="136"/>
      <c r="Q953" s="134"/>
      <c r="R953" s="134"/>
      <c r="S953" s="134"/>
    </row>
    <row r="954" spans="1:19" s="75" customFormat="1" ht="14.6">
      <c r="A954" s="90"/>
      <c r="B954" s="90"/>
      <c r="D954" s="91"/>
      <c r="E954" s="77"/>
      <c r="M954" s="133"/>
      <c r="N954" s="135"/>
      <c r="O954" s="133"/>
      <c r="P954" s="136"/>
      <c r="Q954" s="134"/>
      <c r="R954" s="134"/>
      <c r="S954" s="134"/>
    </row>
    <row r="955" spans="1:19" s="75" customFormat="1" ht="14.6">
      <c r="A955" s="90"/>
      <c r="B955" s="90"/>
      <c r="D955" s="91"/>
      <c r="E955" s="77"/>
      <c r="M955" s="133"/>
      <c r="N955" s="135"/>
      <c r="O955" s="133"/>
      <c r="P955" s="136"/>
      <c r="Q955" s="134"/>
      <c r="R955" s="134"/>
      <c r="S955" s="134"/>
    </row>
    <row r="956" spans="1:19" s="75" customFormat="1" ht="14.6">
      <c r="A956" s="90"/>
      <c r="B956" s="90"/>
      <c r="D956" s="91"/>
      <c r="E956" s="77"/>
      <c r="M956" s="133"/>
      <c r="N956" s="135"/>
      <c r="O956" s="133"/>
      <c r="P956" s="136"/>
      <c r="Q956" s="134"/>
      <c r="R956" s="134"/>
      <c r="S956" s="134"/>
    </row>
    <row r="957" spans="1:19" s="75" customFormat="1" ht="14.6">
      <c r="A957" s="90"/>
      <c r="B957" s="90"/>
      <c r="D957" s="91"/>
      <c r="E957" s="77"/>
      <c r="M957" s="133"/>
      <c r="N957" s="135"/>
      <c r="O957" s="133"/>
      <c r="P957" s="136"/>
      <c r="Q957" s="134"/>
      <c r="R957" s="134"/>
      <c r="S957" s="134"/>
    </row>
    <row r="958" spans="1:19" s="75" customFormat="1" ht="14.6">
      <c r="A958" s="90"/>
      <c r="B958" s="90"/>
      <c r="D958" s="91"/>
      <c r="E958" s="77"/>
      <c r="M958" s="133"/>
      <c r="N958" s="135"/>
      <c r="O958" s="133"/>
      <c r="P958" s="136"/>
      <c r="Q958" s="134"/>
      <c r="R958" s="134"/>
      <c r="S958" s="134"/>
    </row>
    <row r="959" spans="1:19" s="75" customFormat="1" ht="14.6">
      <c r="A959" s="90"/>
      <c r="B959" s="90"/>
      <c r="D959" s="91"/>
      <c r="E959" s="77"/>
      <c r="M959" s="133"/>
      <c r="N959" s="135"/>
      <c r="O959" s="133"/>
      <c r="P959" s="136"/>
      <c r="Q959" s="134"/>
      <c r="R959" s="134"/>
      <c r="S959" s="134"/>
    </row>
    <row r="960" spans="1:19" s="75" customFormat="1" ht="14.6">
      <c r="A960" s="90"/>
      <c r="B960" s="90"/>
      <c r="D960" s="91"/>
      <c r="E960" s="77"/>
      <c r="M960" s="133"/>
      <c r="N960" s="135"/>
      <c r="O960" s="133"/>
      <c r="P960" s="136"/>
      <c r="Q960" s="134"/>
      <c r="R960" s="134"/>
      <c r="S960" s="134"/>
    </row>
    <row r="961" spans="1:19" s="75" customFormat="1" ht="14.6">
      <c r="A961" s="90"/>
      <c r="B961" s="90"/>
      <c r="D961" s="91"/>
      <c r="E961" s="77"/>
      <c r="M961" s="133"/>
      <c r="N961" s="135"/>
      <c r="O961" s="133"/>
      <c r="P961" s="136"/>
      <c r="Q961" s="134"/>
      <c r="R961" s="134"/>
      <c r="S961" s="134"/>
    </row>
    <row r="962" spans="1:19" s="75" customFormat="1" ht="14.6">
      <c r="A962" s="90"/>
      <c r="B962" s="90"/>
      <c r="D962" s="91"/>
      <c r="E962" s="77"/>
      <c r="M962" s="133"/>
      <c r="N962" s="135"/>
      <c r="O962" s="133"/>
      <c r="P962" s="136"/>
      <c r="Q962" s="134"/>
      <c r="R962" s="134"/>
      <c r="S962" s="134"/>
    </row>
    <row r="963" spans="1:19" s="75" customFormat="1" ht="14.6">
      <c r="A963" s="90"/>
      <c r="B963" s="90"/>
      <c r="D963" s="91"/>
      <c r="E963" s="77"/>
      <c r="M963" s="133"/>
      <c r="N963" s="135"/>
      <c r="O963" s="133"/>
      <c r="P963" s="136"/>
      <c r="Q963" s="134"/>
      <c r="R963" s="134"/>
      <c r="S963" s="134"/>
    </row>
    <row r="964" spans="1:19" s="75" customFormat="1" ht="14.6">
      <c r="A964" s="90"/>
      <c r="B964" s="90"/>
      <c r="D964" s="91"/>
      <c r="E964" s="77"/>
      <c r="M964" s="133"/>
      <c r="N964" s="135"/>
      <c r="O964" s="133"/>
      <c r="P964" s="136"/>
      <c r="Q964" s="134"/>
      <c r="R964" s="134"/>
      <c r="S964" s="134"/>
    </row>
    <row r="965" spans="1:19" s="75" customFormat="1" ht="14.6">
      <c r="A965" s="90"/>
      <c r="B965" s="90"/>
      <c r="D965" s="91"/>
      <c r="E965" s="77"/>
      <c r="M965" s="133"/>
      <c r="N965" s="135"/>
      <c r="O965" s="133"/>
      <c r="P965" s="136"/>
      <c r="Q965" s="134"/>
      <c r="R965" s="134"/>
      <c r="S965" s="134"/>
    </row>
    <row r="966" spans="1:19" s="75" customFormat="1" ht="14.6">
      <c r="A966" s="90"/>
      <c r="B966" s="90"/>
      <c r="D966" s="91"/>
      <c r="E966" s="77"/>
      <c r="M966" s="133"/>
      <c r="N966" s="135"/>
      <c r="O966" s="133"/>
      <c r="P966" s="136"/>
      <c r="Q966" s="134"/>
      <c r="R966" s="134"/>
      <c r="S966" s="134"/>
    </row>
    <row r="967" spans="1:19" s="75" customFormat="1" ht="14.6">
      <c r="A967" s="90"/>
      <c r="B967" s="90"/>
      <c r="D967" s="91"/>
      <c r="E967" s="77"/>
      <c r="M967" s="133"/>
      <c r="N967" s="135"/>
      <c r="O967" s="133"/>
      <c r="P967" s="136"/>
      <c r="Q967" s="134"/>
      <c r="R967" s="134"/>
      <c r="S967" s="134"/>
    </row>
    <row r="968" spans="1:19" s="75" customFormat="1" ht="14.6">
      <c r="A968" s="90"/>
      <c r="B968" s="90"/>
      <c r="D968" s="91"/>
      <c r="E968" s="77"/>
      <c r="M968" s="133"/>
      <c r="N968" s="135"/>
      <c r="O968" s="133"/>
      <c r="P968" s="136"/>
      <c r="Q968" s="134"/>
      <c r="R968" s="134"/>
      <c r="S968" s="134"/>
    </row>
    <row r="969" spans="1:19" s="75" customFormat="1" ht="14.6">
      <c r="A969" s="90"/>
      <c r="B969" s="90"/>
      <c r="D969" s="91"/>
      <c r="E969" s="77"/>
      <c r="M969" s="133"/>
      <c r="N969" s="135"/>
      <c r="O969" s="133"/>
      <c r="P969" s="136"/>
      <c r="Q969" s="134"/>
      <c r="R969" s="134"/>
      <c r="S969" s="134"/>
    </row>
    <row r="970" spans="1:19" s="75" customFormat="1" ht="14.6">
      <c r="A970" s="90"/>
      <c r="B970" s="90"/>
      <c r="D970" s="91"/>
      <c r="E970" s="77"/>
      <c r="M970" s="133"/>
      <c r="N970" s="135"/>
      <c r="O970" s="133"/>
      <c r="P970" s="136"/>
      <c r="Q970" s="134"/>
      <c r="R970" s="134"/>
      <c r="S970" s="134"/>
    </row>
    <row r="971" spans="1:19" s="75" customFormat="1" ht="14.6">
      <c r="A971" s="90"/>
      <c r="B971" s="90"/>
      <c r="D971" s="91"/>
      <c r="E971" s="77"/>
      <c r="M971" s="133"/>
      <c r="N971" s="135"/>
      <c r="O971" s="133"/>
      <c r="P971" s="136"/>
      <c r="Q971" s="134"/>
      <c r="R971" s="134"/>
      <c r="S971" s="134"/>
    </row>
    <row r="972" spans="1:19" s="75" customFormat="1" ht="14.6">
      <c r="A972" s="90"/>
      <c r="B972" s="90"/>
      <c r="D972" s="91"/>
      <c r="E972" s="77"/>
      <c r="M972" s="133"/>
      <c r="N972" s="135"/>
      <c r="O972" s="133"/>
      <c r="P972" s="136"/>
      <c r="Q972" s="134"/>
      <c r="R972" s="134"/>
      <c r="S972" s="134"/>
    </row>
    <row r="973" spans="1:19" s="75" customFormat="1" ht="14.6">
      <c r="A973" s="90"/>
      <c r="B973" s="90"/>
      <c r="D973" s="91"/>
      <c r="E973" s="77"/>
      <c r="M973" s="133"/>
      <c r="N973" s="135"/>
      <c r="O973" s="133"/>
      <c r="P973" s="136"/>
      <c r="Q973" s="134"/>
      <c r="R973" s="134"/>
      <c r="S973" s="134"/>
    </row>
    <row r="974" spans="1:19" s="75" customFormat="1" ht="14.6">
      <c r="A974" s="90"/>
      <c r="B974" s="90"/>
      <c r="D974" s="91"/>
      <c r="E974" s="77"/>
      <c r="M974" s="133"/>
      <c r="N974" s="135"/>
      <c r="O974" s="133"/>
      <c r="P974" s="136"/>
      <c r="Q974" s="134"/>
      <c r="R974" s="134"/>
      <c r="S974" s="134"/>
    </row>
    <row r="975" spans="1:19" s="75" customFormat="1" ht="14.6">
      <c r="A975" s="90"/>
      <c r="B975" s="90"/>
      <c r="D975" s="91"/>
      <c r="E975" s="77"/>
      <c r="M975" s="133"/>
      <c r="N975" s="135"/>
      <c r="O975" s="133"/>
      <c r="P975" s="136"/>
      <c r="Q975" s="134"/>
      <c r="R975" s="134"/>
      <c r="S975" s="134"/>
    </row>
    <row r="976" spans="1:19" s="75" customFormat="1" ht="14.6">
      <c r="A976" s="90"/>
      <c r="B976" s="90"/>
      <c r="D976" s="91"/>
      <c r="E976" s="77"/>
      <c r="M976" s="133"/>
      <c r="N976" s="135"/>
      <c r="O976" s="133"/>
      <c r="P976" s="136"/>
      <c r="Q976" s="134"/>
      <c r="R976" s="134"/>
      <c r="S976" s="134"/>
    </row>
    <row r="977" spans="1:19" s="75" customFormat="1" ht="14.6">
      <c r="A977" s="90"/>
      <c r="B977" s="90"/>
      <c r="D977" s="91"/>
      <c r="E977" s="77"/>
      <c r="M977" s="133"/>
      <c r="N977" s="135"/>
      <c r="O977" s="133"/>
      <c r="P977" s="136"/>
      <c r="Q977" s="134"/>
      <c r="R977" s="134"/>
      <c r="S977" s="134"/>
    </row>
    <row r="978" spans="1:19" s="75" customFormat="1" ht="14.6">
      <c r="A978" s="90"/>
      <c r="B978" s="90"/>
      <c r="D978" s="91"/>
      <c r="E978" s="77"/>
      <c r="M978" s="133"/>
      <c r="N978" s="135"/>
      <c r="O978" s="133"/>
      <c r="P978" s="136"/>
      <c r="Q978" s="134"/>
      <c r="R978" s="134"/>
      <c r="S978" s="134"/>
    </row>
    <row r="979" spans="1:19" s="75" customFormat="1" ht="14.6">
      <c r="A979" s="90"/>
      <c r="B979" s="90"/>
      <c r="D979" s="91"/>
      <c r="E979" s="77"/>
      <c r="M979" s="133"/>
      <c r="N979" s="135"/>
      <c r="O979" s="133"/>
      <c r="P979" s="136"/>
      <c r="Q979" s="134"/>
      <c r="R979" s="134"/>
      <c r="S979" s="134"/>
    </row>
    <row r="980" spans="1:19" s="75" customFormat="1" ht="14.6">
      <c r="A980" s="90"/>
      <c r="B980" s="90"/>
      <c r="D980" s="91"/>
      <c r="E980" s="77"/>
      <c r="M980" s="133"/>
      <c r="N980" s="135"/>
      <c r="O980" s="133"/>
      <c r="P980" s="136"/>
      <c r="Q980" s="134"/>
      <c r="R980" s="134"/>
      <c r="S980" s="134"/>
    </row>
    <row r="981" spans="1:19" s="75" customFormat="1" ht="14.6">
      <c r="A981" s="90"/>
      <c r="B981" s="90"/>
      <c r="D981" s="91"/>
      <c r="E981" s="77"/>
      <c r="M981" s="133"/>
      <c r="N981" s="135"/>
      <c r="O981" s="133"/>
      <c r="P981" s="136"/>
      <c r="Q981" s="134"/>
      <c r="R981" s="134"/>
      <c r="S981" s="134"/>
    </row>
    <row r="982" spans="1:19" s="75" customFormat="1" ht="14.6">
      <c r="A982" s="90"/>
      <c r="B982" s="90"/>
      <c r="D982" s="91"/>
      <c r="E982" s="77"/>
      <c r="M982" s="133"/>
      <c r="N982" s="135"/>
      <c r="O982" s="133"/>
      <c r="P982" s="136"/>
      <c r="Q982" s="134"/>
      <c r="R982" s="134"/>
      <c r="S982" s="134"/>
    </row>
    <row r="983" spans="1:19" s="75" customFormat="1" ht="14.6">
      <c r="A983" s="90"/>
      <c r="B983" s="90"/>
      <c r="D983" s="91"/>
      <c r="E983" s="77"/>
      <c r="M983" s="133"/>
      <c r="N983" s="135"/>
      <c r="O983" s="133"/>
      <c r="P983" s="136"/>
      <c r="Q983" s="134"/>
      <c r="R983" s="134"/>
      <c r="S983" s="134"/>
    </row>
    <row r="984" spans="1:19" s="75" customFormat="1" ht="14.6">
      <c r="A984" s="90"/>
      <c r="B984" s="90"/>
      <c r="D984" s="91"/>
      <c r="E984" s="77"/>
      <c r="M984" s="133"/>
      <c r="N984" s="135"/>
      <c r="O984" s="133"/>
      <c r="P984" s="136"/>
      <c r="Q984" s="134"/>
      <c r="R984" s="134"/>
      <c r="S984" s="134"/>
    </row>
    <row r="985" spans="1:19" s="75" customFormat="1" ht="14.6">
      <c r="A985" s="90"/>
      <c r="B985" s="90"/>
      <c r="D985" s="91"/>
      <c r="E985" s="77"/>
      <c r="M985" s="133"/>
      <c r="N985" s="135"/>
      <c r="O985" s="133"/>
      <c r="P985" s="136"/>
      <c r="Q985" s="134"/>
      <c r="R985" s="134"/>
      <c r="S985" s="134"/>
    </row>
    <row r="986" spans="1:19" s="75" customFormat="1" ht="14.6">
      <c r="A986" s="90"/>
      <c r="B986" s="90"/>
      <c r="D986" s="91"/>
      <c r="E986" s="77"/>
      <c r="M986" s="133"/>
      <c r="N986" s="135"/>
      <c r="O986" s="133"/>
      <c r="P986" s="136"/>
      <c r="Q986" s="134"/>
      <c r="R986" s="134"/>
      <c r="S986" s="134"/>
    </row>
    <row r="987" spans="1:19" s="75" customFormat="1" ht="14.6">
      <c r="A987" s="90"/>
      <c r="B987" s="90"/>
      <c r="D987" s="91"/>
      <c r="E987" s="77"/>
      <c r="M987" s="133"/>
      <c r="N987" s="135"/>
      <c r="O987" s="133"/>
      <c r="P987" s="136"/>
      <c r="Q987" s="134"/>
      <c r="R987" s="134"/>
      <c r="S987" s="134"/>
    </row>
    <row r="988" spans="1:19" s="75" customFormat="1" ht="14.6">
      <c r="A988" s="90"/>
      <c r="B988" s="90"/>
      <c r="D988" s="91"/>
      <c r="E988" s="77"/>
      <c r="M988" s="133"/>
      <c r="N988" s="135"/>
      <c r="O988" s="133"/>
      <c r="P988" s="136"/>
      <c r="Q988" s="134"/>
      <c r="R988" s="134"/>
      <c r="S988" s="134"/>
    </row>
    <row r="989" spans="1:19" s="75" customFormat="1" ht="14.6">
      <c r="A989" s="90"/>
      <c r="B989" s="90"/>
      <c r="D989" s="91"/>
      <c r="E989" s="77"/>
      <c r="M989" s="133"/>
      <c r="N989" s="135"/>
      <c r="O989" s="133"/>
      <c r="P989" s="136"/>
      <c r="Q989" s="134"/>
      <c r="R989" s="134"/>
      <c r="S989" s="134"/>
    </row>
    <row r="990" spans="1:19" s="75" customFormat="1" ht="14.6">
      <c r="A990" s="90"/>
      <c r="B990" s="90"/>
      <c r="D990" s="91"/>
      <c r="E990" s="77"/>
      <c r="M990" s="133"/>
      <c r="N990" s="135"/>
      <c r="O990" s="133"/>
      <c r="P990" s="136"/>
      <c r="Q990" s="134"/>
      <c r="R990" s="134"/>
      <c r="S990" s="134"/>
    </row>
    <row r="991" spans="1:19" s="75" customFormat="1" ht="14.6">
      <c r="A991" s="90"/>
      <c r="B991" s="90"/>
      <c r="D991" s="91"/>
      <c r="E991" s="77"/>
      <c r="M991" s="133"/>
      <c r="N991" s="135"/>
      <c r="O991" s="133"/>
      <c r="P991" s="136"/>
      <c r="Q991" s="134"/>
      <c r="R991" s="134"/>
      <c r="S991" s="134"/>
    </row>
    <row r="992" spans="1:19" s="75" customFormat="1" ht="14.6">
      <c r="A992" s="90"/>
      <c r="B992" s="90"/>
      <c r="D992" s="91"/>
      <c r="E992" s="77"/>
      <c r="M992" s="133"/>
      <c r="N992" s="135"/>
      <c r="O992" s="133"/>
      <c r="P992" s="136"/>
      <c r="Q992" s="134"/>
      <c r="R992" s="134"/>
      <c r="S992" s="134"/>
    </row>
    <row r="993" spans="1:19" s="75" customFormat="1" ht="14.6">
      <c r="A993" s="90"/>
      <c r="B993" s="90"/>
      <c r="D993" s="91"/>
      <c r="E993" s="77"/>
      <c r="M993" s="133"/>
      <c r="N993" s="135"/>
      <c r="O993" s="133"/>
      <c r="P993" s="136"/>
      <c r="Q993" s="134"/>
      <c r="R993" s="134"/>
      <c r="S993" s="134"/>
    </row>
    <row r="994" spans="1:19" s="75" customFormat="1" ht="14.6">
      <c r="A994" s="90"/>
      <c r="B994" s="90"/>
      <c r="D994" s="91"/>
      <c r="E994" s="77"/>
      <c r="M994" s="133"/>
      <c r="N994" s="135"/>
      <c r="O994" s="133"/>
      <c r="P994" s="136"/>
      <c r="Q994" s="134"/>
      <c r="R994" s="134"/>
      <c r="S994" s="134"/>
    </row>
    <row r="995" spans="1:19" s="75" customFormat="1" ht="14.6">
      <c r="A995" s="90"/>
      <c r="B995" s="90"/>
      <c r="D995" s="91"/>
      <c r="E995" s="77"/>
      <c r="M995" s="133"/>
      <c r="N995" s="135"/>
      <c r="O995" s="133"/>
      <c r="P995" s="136"/>
      <c r="Q995" s="134"/>
      <c r="R995" s="134"/>
      <c r="S995" s="134"/>
    </row>
    <row r="996" spans="1:19" s="75" customFormat="1" ht="14.6">
      <c r="A996" s="90"/>
      <c r="B996" s="90"/>
      <c r="D996" s="91"/>
      <c r="E996" s="77"/>
      <c r="M996" s="133"/>
      <c r="N996" s="135"/>
      <c r="O996" s="133"/>
      <c r="P996" s="136"/>
      <c r="Q996" s="134"/>
      <c r="R996" s="134"/>
      <c r="S996" s="134"/>
    </row>
    <row r="997" spans="1:19" s="75" customFormat="1" ht="14.6">
      <c r="A997" s="90"/>
      <c r="B997" s="90"/>
      <c r="D997" s="91"/>
      <c r="E997" s="77"/>
      <c r="M997" s="133"/>
      <c r="N997" s="135"/>
      <c r="O997" s="133"/>
      <c r="P997" s="136"/>
      <c r="Q997" s="134"/>
      <c r="R997" s="134"/>
      <c r="S997" s="134"/>
    </row>
    <row r="998" spans="1:19" s="75" customFormat="1" ht="14.6">
      <c r="A998" s="90"/>
      <c r="B998" s="90"/>
      <c r="D998" s="91"/>
      <c r="E998" s="77"/>
      <c r="M998" s="133"/>
      <c r="N998" s="135"/>
      <c r="O998" s="133"/>
      <c r="P998" s="136"/>
      <c r="Q998" s="134"/>
      <c r="R998" s="134"/>
      <c r="S998" s="134"/>
    </row>
    <row r="999" spans="1:19" s="75" customFormat="1" ht="14.6">
      <c r="A999" s="90"/>
      <c r="B999" s="90"/>
      <c r="D999" s="91"/>
      <c r="E999" s="77"/>
      <c r="M999" s="133"/>
      <c r="N999" s="135"/>
      <c r="O999" s="133"/>
      <c r="P999" s="136"/>
      <c r="Q999" s="134"/>
      <c r="R999" s="134"/>
      <c r="S999" s="134"/>
    </row>
    <row r="1000" spans="1:19" s="75" customFormat="1" ht="14.6">
      <c r="A1000" s="90"/>
      <c r="B1000" s="90"/>
      <c r="D1000" s="91"/>
      <c r="E1000" s="77"/>
      <c r="M1000" s="133"/>
      <c r="N1000" s="135"/>
      <c r="O1000" s="133"/>
      <c r="P1000" s="136"/>
      <c r="Q1000" s="134"/>
      <c r="R1000" s="134"/>
      <c r="S1000" s="134"/>
    </row>
    <row r="1001" spans="1:19" s="75" customFormat="1" ht="14.6">
      <c r="A1001" s="90"/>
      <c r="B1001" s="90"/>
      <c r="D1001" s="91"/>
      <c r="E1001" s="77"/>
      <c r="M1001" s="133"/>
      <c r="N1001" s="135"/>
      <c r="O1001" s="133"/>
      <c r="P1001" s="136"/>
      <c r="Q1001" s="134"/>
      <c r="R1001" s="134"/>
      <c r="S1001" s="134"/>
    </row>
    <row r="1002" spans="1:19" s="75" customFormat="1" ht="14.6">
      <c r="A1002" s="90"/>
      <c r="B1002" s="90"/>
      <c r="D1002" s="91"/>
      <c r="E1002" s="77"/>
      <c r="M1002" s="133"/>
      <c r="N1002" s="135"/>
      <c r="O1002" s="133"/>
      <c r="P1002" s="136"/>
      <c r="Q1002" s="134"/>
      <c r="R1002" s="134"/>
      <c r="S1002" s="134"/>
    </row>
    <row r="1003" spans="1:19" s="75" customFormat="1" ht="14.6">
      <c r="A1003" s="90"/>
      <c r="B1003" s="90"/>
      <c r="D1003" s="91"/>
      <c r="E1003" s="77"/>
      <c r="M1003" s="133"/>
      <c r="N1003" s="135"/>
      <c r="O1003" s="133"/>
      <c r="P1003" s="136"/>
      <c r="Q1003" s="134"/>
      <c r="R1003" s="134"/>
      <c r="S1003" s="134"/>
    </row>
    <row r="1004" spans="1:19" s="75" customFormat="1" ht="14.6">
      <c r="A1004" s="90"/>
      <c r="B1004" s="90"/>
      <c r="D1004" s="91"/>
      <c r="E1004" s="77"/>
      <c r="M1004" s="133"/>
      <c r="N1004" s="135"/>
      <c r="O1004" s="133"/>
      <c r="P1004" s="136"/>
      <c r="Q1004" s="134"/>
      <c r="R1004" s="134"/>
      <c r="S1004" s="134"/>
    </row>
    <row r="1005" spans="1:19" s="75" customFormat="1" ht="14.6">
      <c r="A1005" s="90"/>
      <c r="B1005" s="90"/>
      <c r="D1005" s="91"/>
      <c r="E1005" s="77"/>
      <c r="M1005" s="133"/>
      <c r="N1005" s="135"/>
      <c r="O1005" s="133"/>
      <c r="P1005" s="136"/>
      <c r="Q1005" s="134"/>
      <c r="R1005" s="134"/>
      <c r="S1005" s="134"/>
    </row>
    <row r="1006" spans="1:19" s="75" customFormat="1" ht="14.6">
      <c r="A1006" s="90"/>
      <c r="B1006" s="90"/>
      <c r="D1006" s="91"/>
      <c r="E1006" s="77"/>
      <c r="M1006" s="133"/>
      <c r="N1006" s="135"/>
      <c r="O1006" s="133"/>
      <c r="P1006" s="136"/>
      <c r="Q1006" s="134"/>
      <c r="R1006" s="134"/>
      <c r="S1006" s="134"/>
    </row>
    <row r="1007" spans="1:19" s="75" customFormat="1" ht="14.6">
      <c r="A1007" s="90"/>
      <c r="B1007" s="90"/>
      <c r="D1007" s="91"/>
      <c r="E1007" s="77"/>
      <c r="M1007" s="133"/>
      <c r="N1007" s="135"/>
      <c r="O1007" s="133"/>
      <c r="P1007" s="136"/>
      <c r="Q1007" s="134"/>
      <c r="R1007" s="134"/>
      <c r="S1007" s="134"/>
    </row>
    <row r="1008" spans="1:19" s="75" customFormat="1" ht="14.6">
      <c r="A1008" s="90"/>
      <c r="B1008" s="90"/>
      <c r="D1008" s="91"/>
      <c r="E1008" s="77"/>
      <c r="M1008" s="133"/>
      <c r="N1008" s="135"/>
      <c r="O1008" s="133"/>
      <c r="P1008" s="136"/>
      <c r="Q1008" s="134"/>
      <c r="R1008" s="134"/>
      <c r="S1008" s="134"/>
    </row>
    <row r="1009" spans="1:19" s="75" customFormat="1" ht="14.6">
      <c r="A1009" s="90"/>
      <c r="B1009" s="90"/>
      <c r="D1009" s="91"/>
      <c r="E1009" s="77"/>
      <c r="M1009" s="133"/>
      <c r="N1009" s="135"/>
      <c r="O1009" s="133"/>
      <c r="P1009" s="136"/>
      <c r="Q1009" s="134"/>
      <c r="R1009" s="134"/>
      <c r="S1009" s="134"/>
    </row>
    <row r="1010" spans="1:19" s="75" customFormat="1" ht="14.6">
      <c r="A1010" s="90"/>
      <c r="B1010" s="90"/>
      <c r="D1010" s="91"/>
      <c r="E1010" s="77"/>
      <c r="M1010" s="133"/>
      <c r="N1010" s="135"/>
      <c r="O1010" s="133"/>
      <c r="P1010" s="136"/>
      <c r="Q1010" s="134"/>
      <c r="R1010" s="134"/>
      <c r="S1010" s="134"/>
    </row>
    <row r="1011" spans="1:19" s="75" customFormat="1" ht="14.6">
      <c r="A1011" s="90"/>
      <c r="B1011" s="90"/>
      <c r="D1011" s="91"/>
      <c r="E1011" s="77"/>
      <c r="M1011" s="133"/>
      <c r="N1011" s="135"/>
      <c r="O1011" s="133"/>
      <c r="P1011" s="136"/>
      <c r="Q1011" s="134"/>
      <c r="R1011" s="134"/>
      <c r="S1011" s="134"/>
    </row>
    <row r="1012" spans="1:19" s="75" customFormat="1" ht="14.6">
      <c r="A1012" s="90"/>
      <c r="B1012" s="90"/>
      <c r="D1012" s="91"/>
      <c r="E1012" s="77"/>
      <c r="M1012" s="133"/>
      <c r="N1012" s="135"/>
      <c r="O1012" s="133"/>
      <c r="P1012" s="136"/>
      <c r="Q1012" s="134"/>
      <c r="R1012" s="134"/>
      <c r="S1012" s="134"/>
    </row>
    <row r="1013" spans="1:19" s="75" customFormat="1" ht="14.6">
      <c r="A1013" s="90"/>
      <c r="B1013" s="90"/>
      <c r="D1013" s="91"/>
      <c r="E1013" s="77"/>
      <c r="M1013" s="133"/>
      <c r="N1013" s="135"/>
      <c r="O1013" s="133"/>
      <c r="P1013" s="136"/>
      <c r="Q1013" s="134"/>
      <c r="R1013" s="134"/>
      <c r="S1013" s="134"/>
    </row>
    <row r="1014" spans="1:19" s="75" customFormat="1" ht="14.6">
      <c r="A1014" s="90"/>
      <c r="B1014" s="90"/>
      <c r="D1014" s="91"/>
      <c r="E1014" s="77"/>
      <c r="M1014" s="133"/>
      <c r="N1014" s="135"/>
      <c r="O1014" s="133"/>
      <c r="P1014" s="136"/>
      <c r="Q1014" s="134"/>
      <c r="R1014" s="134"/>
      <c r="S1014" s="134"/>
    </row>
    <row r="1015" spans="1:19" s="75" customFormat="1" ht="14.6">
      <c r="A1015" s="90"/>
      <c r="B1015" s="90"/>
      <c r="D1015" s="91"/>
      <c r="E1015" s="77"/>
      <c r="M1015" s="133"/>
      <c r="N1015" s="135"/>
      <c r="O1015" s="133"/>
      <c r="P1015" s="136"/>
      <c r="Q1015" s="134"/>
      <c r="R1015" s="134"/>
      <c r="S1015" s="134"/>
    </row>
    <row r="1016" spans="1:19" s="75" customFormat="1" ht="14.6">
      <c r="A1016" s="90"/>
      <c r="B1016" s="90"/>
      <c r="D1016" s="91"/>
      <c r="E1016" s="77"/>
      <c r="M1016" s="133"/>
      <c r="N1016" s="135"/>
      <c r="O1016" s="133"/>
      <c r="P1016" s="136"/>
      <c r="Q1016" s="134"/>
      <c r="R1016" s="134"/>
      <c r="S1016" s="134"/>
    </row>
    <row r="1017" spans="1:19" s="75" customFormat="1" ht="14.6">
      <c r="A1017" s="90"/>
      <c r="B1017" s="90"/>
      <c r="D1017" s="91"/>
      <c r="E1017" s="77"/>
      <c r="M1017" s="133"/>
      <c r="N1017" s="135"/>
      <c r="O1017" s="133"/>
      <c r="P1017" s="136"/>
      <c r="Q1017" s="134"/>
      <c r="R1017" s="134"/>
      <c r="S1017" s="134"/>
    </row>
    <row r="1018" spans="1:19" s="75" customFormat="1" ht="14.6">
      <c r="A1018" s="90"/>
      <c r="B1018" s="90"/>
      <c r="D1018" s="91"/>
      <c r="E1018" s="77"/>
      <c r="M1018" s="133"/>
      <c r="N1018" s="135"/>
      <c r="O1018" s="133"/>
      <c r="P1018" s="136"/>
      <c r="Q1018" s="134"/>
      <c r="R1018" s="134"/>
      <c r="S1018" s="134"/>
    </row>
    <row r="1019" spans="1:19" s="75" customFormat="1" ht="14.6">
      <c r="A1019" s="90"/>
      <c r="B1019" s="90"/>
      <c r="D1019" s="91"/>
      <c r="E1019" s="77"/>
      <c r="M1019" s="133"/>
      <c r="N1019" s="135"/>
      <c r="O1019" s="133"/>
      <c r="P1019" s="136"/>
      <c r="Q1019" s="134"/>
      <c r="R1019" s="134"/>
      <c r="S1019" s="134"/>
    </row>
    <row r="1020" spans="1:19" s="75" customFormat="1" ht="14.6">
      <c r="A1020" s="90"/>
      <c r="B1020" s="90"/>
      <c r="D1020" s="91"/>
      <c r="E1020" s="77"/>
      <c r="M1020" s="133"/>
      <c r="N1020" s="135"/>
      <c r="O1020" s="133"/>
      <c r="P1020" s="136"/>
      <c r="Q1020" s="134"/>
      <c r="R1020" s="134"/>
      <c r="S1020" s="134"/>
    </row>
    <row r="1021" spans="1:19" s="75" customFormat="1" ht="14.6">
      <c r="A1021" s="90"/>
      <c r="B1021" s="90"/>
      <c r="D1021" s="91"/>
      <c r="E1021" s="77"/>
      <c r="M1021" s="133"/>
      <c r="N1021" s="135"/>
      <c r="O1021" s="133"/>
      <c r="P1021" s="136"/>
      <c r="Q1021" s="134"/>
      <c r="R1021" s="134"/>
      <c r="S1021" s="134"/>
    </row>
    <row r="1022" spans="1:19" s="75" customFormat="1" ht="14.6">
      <c r="A1022" s="90"/>
      <c r="B1022" s="90"/>
      <c r="D1022" s="91"/>
      <c r="E1022" s="77"/>
      <c r="M1022" s="133"/>
      <c r="N1022" s="135"/>
      <c r="O1022" s="133"/>
      <c r="P1022" s="136"/>
      <c r="Q1022" s="134"/>
      <c r="R1022" s="134"/>
      <c r="S1022" s="134"/>
    </row>
    <row r="1023" spans="1:19" s="75" customFormat="1" ht="14.6">
      <c r="A1023" s="90"/>
      <c r="B1023" s="90"/>
      <c r="D1023" s="91"/>
      <c r="E1023" s="77"/>
      <c r="M1023" s="133"/>
      <c r="N1023" s="135"/>
      <c r="O1023" s="133"/>
      <c r="P1023" s="136"/>
      <c r="Q1023" s="134"/>
      <c r="R1023" s="134"/>
      <c r="S1023" s="134"/>
    </row>
    <row r="1024" spans="1:19" s="75" customFormat="1" ht="14.6">
      <c r="A1024" s="90"/>
      <c r="B1024" s="90"/>
      <c r="D1024" s="91"/>
      <c r="E1024" s="77"/>
      <c r="M1024" s="133"/>
      <c r="N1024" s="135"/>
      <c r="O1024" s="133"/>
      <c r="P1024" s="136"/>
      <c r="Q1024" s="134"/>
      <c r="R1024" s="134"/>
      <c r="S1024" s="134"/>
    </row>
    <row r="1025" spans="1:19" s="75" customFormat="1" ht="14.6">
      <c r="A1025" s="90"/>
      <c r="B1025" s="90"/>
      <c r="D1025" s="91"/>
      <c r="E1025" s="77"/>
      <c r="M1025" s="133"/>
      <c r="N1025" s="135"/>
      <c r="O1025" s="133"/>
      <c r="P1025" s="136"/>
      <c r="Q1025" s="134"/>
      <c r="R1025" s="134"/>
      <c r="S1025" s="134"/>
    </row>
    <row r="1026" spans="1:19" s="75" customFormat="1" ht="14.6">
      <c r="A1026" s="90"/>
      <c r="B1026" s="90"/>
      <c r="D1026" s="91"/>
      <c r="E1026" s="77"/>
      <c r="M1026" s="133"/>
      <c r="N1026" s="135"/>
      <c r="O1026" s="133"/>
      <c r="P1026" s="136"/>
      <c r="Q1026" s="134"/>
      <c r="R1026" s="134"/>
      <c r="S1026" s="134"/>
    </row>
    <row r="1027" spans="1:19" s="75" customFormat="1" ht="14.6">
      <c r="A1027" s="90"/>
      <c r="B1027" s="90"/>
      <c r="D1027" s="91"/>
      <c r="E1027" s="77"/>
      <c r="M1027" s="133"/>
      <c r="N1027" s="135"/>
      <c r="O1027" s="133"/>
      <c r="P1027" s="136"/>
      <c r="Q1027" s="134"/>
      <c r="R1027" s="134"/>
      <c r="S1027" s="134"/>
    </row>
    <row r="1028" spans="1:19" s="75" customFormat="1" ht="14.6">
      <c r="A1028" s="90"/>
      <c r="B1028" s="90"/>
      <c r="D1028" s="91"/>
      <c r="E1028" s="77"/>
      <c r="M1028" s="133"/>
      <c r="N1028" s="135"/>
      <c r="O1028" s="133"/>
      <c r="P1028" s="136"/>
      <c r="Q1028" s="134"/>
      <c r="R1028" s="134"/>
      <c r="S1028" s="134"/>
    </row>
    <row r="1029" spans="1:19" s="75" customFormat="1" ht="14.6">
      <c r="A1029" s="90"/>
      <c r="B1029" s="90"/>
      <c r="D1029" s="91"/>
      <c r="E1029" s="77"/>
      <c r="M1029" s="133"/>
      <c r="N1029" s="135"/>
      <c r="O1029" s="133"/>
      <c r="P1029" s="136"/>
      <c r="Q1029" s="134"/>
      <c r="R1029" s="134"/>
      <c r="S1029" s="134"/>
    </row>
    <row r="1030" spans="1:19" s="75" customFormat="1" ht="14.6">
      <c r="A1030" s="90"/>
      <c r="B1030" s="90"/>
      <c r="D1030" s="91"/>
      <c r="E1030" s="77"/>
      <c r="M1030" s="133"/>
      <c r="N1030" s="135"/>
      <c r="O1030" s="133"/>
      <c r="P1030" s="136"/>
      <c r="Q1030" s="134"/>
      <c r="R1030" s="134"/>
      <c r="S1030" s="134"/>
    </row>
    <row r="1031" spans="1:19" s="75" customFormat="1" ht="14.6">
      <c r="A1031" s="90"/>
      <c r="B1031" s="90"/>
      <c r="D1031" s="91"/>
      <c r="E1031" s="77"/>
      <c r="M1031" s="133"/>
      <c r="N1031" s="135"/>
      <c r="O1031" s="133"/>
      <c r="P1031" s="136"/>
      <c r="Q1031" s="134"/>
      <c r="R1031" s="134"/>
      <c r="S1031" s="134"/>
    </row>
    <row r="1032" spans="1:19" s="75" customFormat="1" ht="14.6">
      <c r="A1032" s="90"/>
      <c r="B1032" s="90"/>
      <c r="D1032" s="91"/>
      <c r="E1032" s="77"/>
      <c r="M1032" s="133"/>
      <c r="N1032" s="135"/>
      <c r="O1032" s="133"/>
      <c r="P1032" s="136"/>
      <c r="Q1032" s="134"/>
      <c r="R1032" s="134"/>
      <c r="S1032" s="134"/>
    </row>
    <row r="1033" spans="1:19" s="75" customFormat="1" ht="14.6">
      <c r="A1033" s="90"/>
      <c r="B1033" s="90"/>
      <c r="D1033" s="91"/>
      <c r="E1033" s="77"/>
      <c r="M1033" s="133"/>
      <c r="N1033" s="135"/>
      <c r="O1033" s="133"/>
      <c r="P1033" s="136"/>
      <c r="Q1033" s="134"/>
      <c r="R1033" s="134"/>
      <c r="S1033" s="134"/>
    </row>
    <row r="1034" spans="1:19" s="75" customFormat="1" ht="14.6">
      <c r="A1034" s="90"/>
      <c r="B1034" s="90"/>
      <c r="D1034" s="91"/>
      <c r="E1034" s="77"/>
      <c r="M1034" s="133"/>
      <c r="N1034" s="135"/>
      <c r="O1034" s="133"/>
      <c r="P1034" s="136"/>
      <c r="Q1034" s="134"/>
      <c r="R1034" s="134"/>
      <c r="S1034" s="134"/>
    </row>
    <row r="1035" spans="1:19" s="75" customFormat="1" ht="14.6">
      <c r="A1035" s="90"/>
      <c r="B1035" s="90"/>
      <c r="D1035" s="91"/>
      <c r="E1035" s="77"/>
      <c r="M1035" s="133"/>
      <c r="N1035" s="135"/>
      <c r="O1035" s="133"/>
      <c r="P1035" s="136"/>
      <c r="Q1035" s="134"/>
      <c r="R1035" s="134"/>
      <c r="S1035" s="134"/>
    </row>
    <row r="1036" spans="1:19" s="75" customFormat="1" ht="14.6">
      <c r="A1036" s="90"/>
      <c r="B1036" s="90"/>
      <c r="D1036" s="91"/>
      <c r="E1036" s="77"/>
      <c r="M1036" s="133"/>
      <c r="N1036" s="135"/>
      <c r="O1036" s="133"/>
      <c r="P1036" s="136"/>
      <c r="Q1036" s="134"/>
      <c r="R1036" s="134"/>
      <c r="S1036" s="134"/>
    </row>
    <row r="1037" spans="1:19" s="75" customFormat="1" ht="14.6">
      <c r="A1037" s="90"/>
      <c r="B1037" s="90"/>
      <c r="D1037" s="91"/>
      <c r="E1037" s="77"/>
      <c r="M1037" s="133"/>
      <c r="N1037" s="135"/>
      <c r="O1037" s="133"/>
      <c r="P1037" s="136"/>
      <c r="Q1037" s="134"/>
      <c r="R1037" s="134"/>
      <c r="S1037" s="134"/>
    </row>
    <row r="1038" spans="1:19" s="75" customFormat="1" ht="14.6">
      <c r="A1038" s="90"/>
      <c r="B1038" s="90"/>
      <c r="D1038" s="91"/>
      <c r="E1038" s="77"/>
      <c r="M1038" s="133"/>
      <c r="N1038" s="135"/>
      <c r="O1038" s="133"/>
      <c r="P1038" s="136"/>
      <c r="Q1038" s="134"/>
      <c r="R1038" s="134"/>
      <c r="S1038" s="134"/>
    </row>
    <row r="1039" spans="1:19" s="75" customFormat="1" ht="14.6">
      <c r="A1039" s="90"/>
      <c r="B1039" s="90"/>
      <c r="D1039" s="91"/>
      <c r="E1039" s="77"/>
      <c r="M1039" s="133"/>
      <c r="N1039" s="135"/>
      <c r="O1039" s="133"/>
      <c r="P1039" s="136"/>
      <c r="Q1039" s="134"/>
      <c r="R1039" s="134"/>
      <c r="S1039" s="134"/>
    </row>
    <row r="1040" spans="1:19" s="75" customFormat="1" ht="14.6">
      <c r="A1040" s="90"/>
      <c r="B1040" s="90"/>
      <c r="D1040" s="91"/>
      <c r="E1040" s="77"/>
      <c r="M1040" s="133"/>
      <c r="N1040" s="135"/>
      <c r="O1040" s="133"/>
      <c r="P1040" s="136"/>
      <c r="Q1040" s="134"/>
      <c r="R1040" s="134"/>
      <c r="S1040" s="134"/>
    </row>
    <row r="1041" spans="1:19" s="75" customFormat="1" ht="14.6">
      <c r="A1041" s="90"/>
      <c r="B1041" s="90"/>
      <c r="D1041" s="91"/>
      <c r="E1041" s="77"/>
      <c r="M1041" s="133"/>
      <c r="N1041" s="135"/>
      <c r="O1041" s="133"/>
      <c r="P1041" s="136"/>
      <c r="Q1041" s="134"/>
      <c r="R1041" s="134"/>
      <c r="S1041" s="134"/>
    </row>
    <row r="1042" spans="1:19" s="75" customFormat="1" ht="14.6">
      <c r="A1042" s="90"/>
      <c r="B1042" s="90"/>
      <c r="D1042" s="91"/>
      <c r="E1042" s="77"/>
      <c r="M1042" s="133"/>
      <c r="N1042" s="135"/>
      <c r="O1042" s="133"/>
      <c r="P1042" s="136"/>
      <c r="Q1042" s="134"/>
      <c r="R1042" s="134"/>
      <c r="S1042" s="134"/>
    </row>
    <row r="1043" spans="1:19" s="75" customFormat="1" ht="14.6">
      <c r="A1043" s="90"/>
      <c r="B1043" s="90"/>
      <c r="D1043" s="91"/>
      <c r="E1043" s="77"/>
      <c r="M1043" s="133"/>
      <c r="N1043" s="135"/>
      <c r="O1043" s="133"/>
      <c r="P1043" s="136"/>
      <c r="Q1043" s="134"/>
      <c r="R1043" s="134"/>
      <c r="S1043" s="134"/>
    </row>
    <row r="1044" spans="1:19" s="75" customFormat="1" ht="14.6">
      <c r="A1044" s="90"/>
      <c r="B1044" s="90"/>
      <c r="D1044" s="91"/>
      <c r="E1044" s="77"/>
      <c r="M1044" s="133"/>
      <c r="N1044" s="135"/>
      <c r="O1044" s="133"/>
      <c r="P1044" s="136"/>
      <c r="Q1044" s="134"/>
      <c r="R1044" s="134"/>
      <c r="S1044" s="134"/>
    </row>
    <row r="1045" spans="1:19" s="75" customFormat="1" ht="14.6">
      <c r="A1045" s="90"/>
      <c r="B1045" s="90"/>
      <c r="D1045" s="91"/>
      <c r="E1045" s="77"/>
      <c r="M1045" s="133"/>
      <c r="N1045" s="135"/>
      <c r="O1045" s="133"/>
      <c r="P1045" s="136"/>
      <c r="Q1045" s="134"/>
      <c r="R1045" s="134"/>
      <c r="S1045" s="134"/>
    </row>
    <row r="1046" spans="1:19" s="75" customFormat="1" ht="14.6">
      <c r="A1046" s="90"/>
      <c r="B1046" s="90"/>
      <c r="D1046" s="91"/>
      <c r="E1046" s="77"/>
      <c r="M1046" s="133"/>
      <c r="N1046" s="135"/>
      <c r="O1046" s="133"/>
      <c r="P1046" s="136"/>
      <c r="Q1046" s="134"/>
      <c r="R1046" s="134"/>
      <c r="S1046" s="134"/>
    </row>
    <row r="1047" spans="1:19" s="75" customFormat="1" ht="14.6">
      <c r="A1047" s="90"/>
      <c r="B1047" s="90"/>
      <c r="D1047" s="91"/>
      <c r="E1047" s="77"/>
      <c r="M1047" s="133"/>
      <c r="N1047" s="135"/>
      <c r="O1047" s="133"/>
      <c r="P1047" s="136"/>
      <c r="Q1047" s="134"/>
      <c r="R1047" s="134"/>
      <c r="S1047" s="134"/>
    </row>
    <row r="1048" spans="1:19" s="75" customFormat="1" ht="14.6">
      <c r="A1048" s="90"/>
      <c r="B1048" s="90"/>
      <c r="D1048" s="91"/>
      <c r="E1048" s="77"/>
      <c r="M1048" s="133"/>
      <c r="N1048" s="135"/>
      <c r="O1048" s="133"/>
      <c r="P1048" s="136"/>
      <c r="Q1048" s="134"/>
      <c r="R1048" s="134"/>
      <c r="S1048" s="134"/>
    </row>
    <row r="1049" spans="1:19" s="75" customFormat="1" ht="14.6">
      <c r="A1049" s="90"/>
      <c r="B1049" s="90"/>
      <c r="D1049" s="91"/>
      <c r="E1049" s="77"/>
      <c r="M1049" s="133"/>
      <c r="N1049" s="135"/>
      <c r="O1049" s="133"/>
      <c r="P1049" s="136"/>
      <c r="Q1049" s="134"/>
      <c r="R1049" s="134"/>
      <c r="S1049" s="134"/>
    </row>
    <row r="1050" spans="1:19" s="75" customFormat="1" ht="14.6">
      <c r="A1050" s="90"/>
      <c r="B1050" s="90"/>
      <c r="D1050" s="91"/>
      <c r="E1050" s="77"/>
      <c r="M1050" s="133"/>
      <c r="N1050" s="135"/>
      <c r="O1050" s="133"/>
      <c r="P1050" s="136"/>
      <c r="Q1050" s="134"/>
      <c r="R1050" s="134"/>
      <c r="S1050" s="134"/>
    </row>
    <row r="1051" spans="1:19" s="75" customFormat="1" ht="14.6">
      <c r="A1051" s="90"/>
      <c r="B1051" s="90"/>
      <c r="D1051" s="91"/>
      <c r="E1051" s="77"/>
      <c r="M1051" s="133"/>
      <c r="N1051" s="135"/>
      <c r="O1051" s="133"/>
      <c r="P1051" s="136"/>
      <c r="Q1051" s="134"/>
      <c r="R1051" s="134"/>
      <c r="S1051" s="134"/>
    </row>
    <row r="1052" spans="1:19" s="75" customFormat="1" ht="14.6">
      <c r="A1052" s="90"/>
      <c r="B1052" s="90"/>
      <c r="D1052" s="91"/>
      <c r="E1052" s="77"/>
      <c r="M1052" s="133"/>
      <c r="N1052" s="135"/>
      <c r="O1052" s="133"/>
      <c r="P1052" s="136"/>
      <c r="Q1052" s="134"/>
      <c r="R1052" s="134"/>
      <c r="S1052" s="134"/>
    </row>
    <row r="1053" spans="1:19" s="75" customFormat="1" ht="14.6">
      <c r="A1053" s="90"/>
      <c r="B1053" s="90"/>
      <c r="D1053" s="91"/>
      <c r="E1053" s="77"/>
      <c r="M1053" s="133"/>
      <c r="N1053" s="135"/>
      <c r="O1053" s="133"/>
      <c r="P1053" s="136"/>
      <c r="Q1053" s="134"/>
      <c r="R1053" s="134"/>
      <c r="S1053" s="134"/>
    </row>
    <row r="1054" spans="1:19" s="75" customFormat="1" ht="14.6">
      <c r="A1054" s="90"/>
      <c r="B1054" s="90"/>
      <c r="D1054" s="91"/>
      <c r="E1054" s="77"/>
      <c r="M1054" s="133"/>
      <c r="N1054" s="135"/>
      <c r="O1054" s="133"/>
      <c r="P1054" s="136"/>
      <c r="Q1054" s="134"/>
      <c r="R1054" s="134"/>
      <c r="S1054" s="134"/>
    </row>
    <row r="1055" spans="1:19" s="75" customFormat="1" ht="14.6">
      <c r="A1055" s="90"/>
      <c r="B1055" s="90"/>
      <c r="D1055" s="91"/>
      <c r="E1055" s="77"/>
      <c r="M1055" s="133"/>
      <c r="N1055" s="135"/>
      <c r="O1055" s="133"/>
      <c r="P1055" s="136"/>
      <c r="Q1055" s="134"/>
      <c r="R1055" s="134"/>
      <c r="S1055" s="134"/>
    </row>
    <row r="1056" spans="1:19" s="75" customFormat="1" ht="14.6">
      <c r="A1056" s="90"/>
      <c r="B1056" s="90"/>
      <c r="D1056" s="91"/>
      <c r="E1056" s="77"/>
      <c r="M1056" s="133"/>
      <c r="N1056" s="135"/>
      <c r="O1056" s="133"/>
      <c r="P1056" s="136"/>
      <c r="Q1056" s="134"/>
      <c r="R1056" s="134"/>
      <c r="S1056" s="134"/>
    </row>
    <row r="1057" spans="1:19" s="75" customFormat="1" ht="14.6">
      <c r="A1057" s="90"/>
      <c r="B1057" s="90"/>
      <c r="D1057" s="91"/>
      <c r="E1057" s="77"/>
      <c r="M1057" s="133"/>
      <c r="N1057" s="135"/>
      <c r="O1057" s="133"/>
      <c r="P1057" s="136"/>
      <c r="Q1057" s="134"/>
      <c r="R1057" s="134"/>
      <c r="S1057" s="134"/>
    </row>
    <row r="1058" spans="1:19" s="75" customFormat="1" ht="14.6">
      <c r="A1058" s="90"/>
      <c r="B1058" s="90"/>
      <c r="D1058" s="91"/>
      <c r="E1058" s="77"/>
      <c r="M1058" s="133"/>
      <c r="N1058" s="135"/>
      <c r="O1058" s="133"/>
      <c r="P1058" s="136"/>
      <c r="Q1058" s="134"/>
      <c r="R1058" s="134"/>
      <c r="S1058" s="134"/>
    </row>
    <row r="1059" spans="1:19" s="75" customFormat="1" ht="14.6">
      <c r="A1059" s="90"/>
      <c r="B1059" s="90"/>
      <c r="D1059" s="91"/>
      <c r="E1059" s="77"/>
      <c r="M1059" s="133"/>
      <c r="N1059" s="135"/>
      <c r="O1059" s="133"/>
      <c r="P1059" s="136"/>
      <c r="Q1059" s="134"/>
      <c r="R1059" s="134"/>
      <c r="S1059" s="134"/>
    </row>
    <row r="1060" spans="1:19" s="75" customFormat="1" ht="14.6">
      <c r="A1060" s="90"/>
      <c r="B1060" s="90"/>
      <c r="D1060" s="91"/>
      <c r="E1060" s="77"/>
      <c r="M1060" s="133"/>
      <c r="N1060" s="135"/>
      <c r="O1060" s="133"/>
      <c r="P1060" s="136"/>
      <c r="Q1060" s="134"/>
      <c r="R1060" s="134"/>
      <c r="S1060" s="134"/>
    </row>
    <row r="1061" spans="1:19" s="75" customFormat="1" ht="14.6">
      <c r="A1061" s="90"/>
      <c r="B1061" s="90"/>
      <c r="D1061" s="91"/>
      <c r="E1061" s="77"/>
      <c r="M1061" s="133"/>
      <c r="N1061" s="135"/>
      <c r="O1061" s="133"/>
      <c r="P1061" s="136"/>
      <c r="Q1061" s="134"/>
      <c r="R1061" s="134"/>
      <c r="S1061" s="134"/>
    </row>
    <row r="1062" spans="1:19" s="75" customFormat="1" ht="14.6">
      <c r="A1062" s="90"/>
      <c r="B1062" s="90"/>
      <c r="D1062" s="91"/>
      <c r="E1062" s="77"/>
      <c r="M1062" s="133"/>
      <c r="N1062" s="135"/>
      <c r="O1062" s="133"/>
      <c r="P1062" s="136"/>
      <c r="Q1062" s="134"/>
      <c r="R1062" s="134"/>
      <c r="S1062" s="134"/>
    </row>
    <row r="1063" spans="1:19" s="75" customFormat="1" ht="14.6">
      <c r="A1063" s="90"/>
      <c r="B1063" s="90"/>
      <c r="D1063" s="91"/>
      <c r="E1063" s="77"/>
      <c r="M1063" s="133"/>
      <c r="N1063" s="135"/>
      <c r="O1063" s="133"/>
      <c r="P1063" s="136"/>
      <c r="Q1063" s="134"/>
      <c r="R1063" s="134"/>
      <c r="S1063" s="134"/>
    </row>
    <row r="1064" spans="1:19" s="75" customFormat="1" ht="14.6">
      <c r="A1064" s="90"/>
      <c r="B1064" s="90"/>
      <c r="D1064" s="91"/>
      <c r="E1064" s="77"/>
      <c r="M1064" s="133"/>
      <c r="N1064" s="135"/>
      <c r="O1064" s="133"/>
      <c r="P1064" s="136"/>
      <c r="Q1064" s="134"/>
      <c r="R1064" s="134"/>
      <c r="S1064" s="134"/>
    </row>
    <row r="1065" spans="1:19" s="75" customFormat="1" ht="14.6">
      <c r="A1065" s="90"/>
      <c r="B1065" s="90"/>
      <c r="D1065" s="91"/>
      <c r="E1065" s="77"/>
      <c r="M1065" s="133"/>
      <c r="N1065" s="135"/>
      <c r="O1065" s="133"/>
      <c r="P1065" s="136"/>
      <c r="Q1065" s="134"/>
      <c r="R1065" s="134"/>
      <c r="S1065" s="134"/>
    </row>
    <row r="1066" spans="1:19" s="75" customFormat="1" ht="14.6">
      <c r="A1066" s="90"/>
      <c r="B1066" s="90"/>
      <c r="D1066" s="91"/>
      <c r="E1066" s="77"/>
      <c r="M1066" s="133"/>
      <c r="N1066" s="135"/>
      <c r="O1066" s="133"/>
      <c r="P1066" s="136"/>
      <c r="Q1066" s="134"/>
      <c r="R1066" s="134"/>
      <c r="S1066" s="134"/>
    </row>
    <row r="1067" spans="1:19" s="75" customFormat="1" ht="14.6">
      <c r="A1067" s="90"/>
      <c r="B1067" s="90"/>
      <c r="D1067" s="91"/>
      <c r="E1067" s="77"/>
      <c r="M1067" s="133"/>
      <c r="N1067" s="135"/>
      <c r="O1067" s="133"/>
      <c r="P1067" s="136"/>
      <c r="Q1067" s="134"/>
      <c r="R1067" s="134"/>
      <c r="S1067" s="134"/>
    </row>
    <row r="1068" spans="1:19" s="75" customFormat="1" ht="14.6">
      <c r="A1068" s="90"/>
      <c r="B1068" s="90"/>
      <c r="D1068" s="91"/>
      <c r="E1068" s="77"/>
      <c r="M1068" s="133"/>
      <c r="N1068" s="135"/>
      <c r="O1068" s="133"/>
      <c r="P1068" s="136"/>
      <c r="Q1068" s="134"/>
      <c r="R1068" s="134"/>
      <c r="S1068" s="134"/>
    </row>
    <row r="1069" spans="1:19" s="75" customFormat="1" ht="14.6">
      <c r="A1069" s="90"/>
      <c r="B1069" s="90"/>
      <c r="D1069" s="91"/>
      <c r="E1069" s="77"/>
      <c r="M1069" s="133"/>
      <c r="N1069" s="135"/>
      <c r="O1069" s="133"/>
      <c r="P1069" s="136"/>
      <c r="Q1069" s="134"/>
      <c r="R1069" s="134"/>
      <c r="S1069" s="134"/>
    </row>
    <row r="1070" spans="1:19" s="75" customFormat="1" ht="14.6">
      <c r="A1070" s="90"/>
      <c r="B1070" s="90"/>
      <c r="D1070" s="91"/>
      <c r="E1070" s="77"/>
      <c r="M1070" s="133"/>
      <c r="N1070" s="135"/>
      <c r="O1070" s="133"/>
      <c r="P1070" s="136"/>
      <c r="Q1070" s="134"/>
      <c r="R1070" s="134"/>
      <c r="S1070" s="134"/>
    </row>
    <row r="1071" spans="1:19" s="75" customFormat="1" ht="14.6">
      <c r="A1071" s="90"/>
      <c r="B1071" s="90"/>
      <c r="D1071" s="91"/>
      <c r="E1071" s="77"/>
      <c r="M1071" s="133"/>
      <c r="N1071" s="135"/>
      <c r="O1071" s="133"/>
      <c r="P1071" s="136"/>
      <c r="Q1071" s="134"/>
      <c r="R1071" s="134"/>
      <c r="S1071" s="134"/>
    </row>
    <row r="1072" spans="1:19" s="75" customFormat="1" ht="14.6">
      <c r="A1072" s="90"/>
      <c r="B1072" s="90"/>
      <c r="D1072" s="91"/>
      <c r="E1072" s="77"/>
      <c r="M1072" s="133"/>
      <c r="N1072" s="135"/>
      <c r="O1072" s="133"/>
      <c r="P1072" s="136"/>
      <c r="Q1072" s="134"/>
      <c r="R1072" s="134"/>
      <c r="S1072" s="134"/>
    </row>
    <row r="1073" spans="1:19" s="75" customFormat="1" ht="14.6">
      <c r="A1073" s="90"/>
      <c r="B1073" s="90"/>
      <c r="D1073" s="91"/>
      <c r="E1073" s="77"/>
      <c r="M1073" s="133"/>
      <c r="N1073" s="135"/>
      <c r="O1073" s="133"/>
      <c r="P1073" s="136"/>
      <c r="Q1073" s="134"/>
      <c r="R1073" s="134"/>
      <c r="S1073" s="134"/>
    </row>
    <row r="1074" spans="1:19" s="75" customFormat="1" ht="14.6">
      <c r="A1074" s="90"/>
      <c r="B1074" s="90"/>
      <c r="D1074" s="91"/>
      <c r="E1074" s="77"/>
      <c r="M1074" s="133"/>
      <c r="N1074" s="135"/>
      <c r="O1074" s="133"/>
      <c r="P1074" s="136"/>
      <c r="Q1074" s="134"/>
      <c r="R1074" s="134"/>
      <c r="S1074" s="134"/>
    </row>
    <row r="1075" spans="1:19" s="75" customFormat="1" ht="14.6">
      <c r="A1075" s="90"/>
      <c r="B1075" s="90"/>
      <c r="D1075" s="91"/>
      <c r="E1075" s="77"/>
      <c r="M1075" s="133"/>
      <c r="N1075" s="135"/>
      <c r="O1075" s="133"/>
      <c r="P1075" s="136"/>
      <c r="Q1075" s="134"/>
      <c r="R1075" s="134"/>
      <c r="S1075" s="134"/>
    </row>
    <row r="1076" spans="1:19" s="75" customFormat="1" ht="14.6">
      <c r="A1076" s="90"/>
      <c r="B1076" s="90"/>
      <c r="D1076" s="91"/>
      <c r="E1076" s="77"/>
      <c r="M1076" s="133"/>
      <c r="N1076" s="135"/>
      <c r="O1076" s="133"/>
      <c r="P1076" s="136"/>
      <c r="Q1076" s="134"/>
      <c r="R1076" s="134"/>
      <c r="S1076" s="134"/>
    </row>
    <row r="1077" spans="1:19" s="75" customFormat="1" ht="14.6">
      <c r="A1077" s="90"/>
      <c r="B1077" s="90"/>
      <c r="D1077" s="91"/>
      <c r="E1077" s="77"/>
      <c r="M1077" s="133"/>
      <c r="N1077" s="135"/>
      <c r="O1077" s="133"/>
      <c r="P1077" s="136"/>
      <c r="Q1077" s="134"/>
      <c r="R1077" s="134"/>
      <c r="S1077" s="134"/>
    </row>
    <row r="1078" spans="1:19" s="75" customFormat="1" ht="14.6">
      <c r="A1078" s="90"/>
      <c r="B1078" s="90"/>
      <c r="D1078" s="91"/>
      <c r="E1078" s="77"/>
      <c r="M1078" s="133"/>
      <c r="N1078" s="135"/>
      <c r="O1078" s="133"/>
      <c r="P1078" s="136"/>
      <c r="Q1078" s="134"/>
      <c r="R1078" s="134"/>
      <c r="S1078" s="134"/>
    </row>
    <row r="1079" spans="1:19" s="75" customFormat="1" ht="14.6">
      <c r="A1079" s="90"/>
      <c r="B1079" s="90"/>
      <c r="D1079" s="91"/>
      <c r="E1079" s="77"/>
      <c r="M1079" s="133"/>
      <c r="N1079" s="135"/>
      <c r="O1079" s="133"/>
      <c r="P1079" s="136"/>
      <c r="Q1079" s="134"/>
      <c r="R1079" s="134"/>
      <c r="S1079" s="134"/>
    </row>
    <row r="1080" spans="1:19" s="75" customFormat="1" ht="14.6">
      <c r="A1080" s="90"/>
      <c r="B1080" s="90"/>
      <c r="D1080" s="91"/>
      <c r="E1080" s="77"/>
      <c r="M1080" s="133"/>
      <c r="N1080" s="135"/>
      <c r="O1080" s="133"/>
      <c r="P1080" s="136"/>
      <c r="Q1080" s="134"/>
      <c r="R1080" s="134"/>
      <c r="S1080" s="134"/>
    </row>
    <row r="1081" spans="1:19" s="75" customFormat="1" ht="14.6">
      <c r="A1081" s="90"/>
      <c r="B1081" s="90"/>
      <c r="D1081" s="91"/>
      <c r="E1081" s="77"/>
      <c r="M1081" s="133"/>
      <c r="N1081" s="135"/>
      <c r="O1081" s="133"/>
      <c r="P1081" s="136"/>
      <c r="Q1081" s="134"/>
      <c r="R1081" s="134"/>
      <c r="S1081" s="134"/>
    </row>
    <row r="1082" spans="1:19" s="75" customFormat="1" ht="14.6">
      <c r="A1082" s="90"/>
      <c r="B1082" s="90"/>
      <c r="D1082" s="91"/>
      <c r="E1082" s="77"/>
      <c r="M1082" s="133"/>
      <c r="N1082" s="135"/>
      <c r="O1082" s="133"/>
      <c r="P1082" s="136"/>
      <c r="Q1082" s="134"/>
      <c r="R1082" s="134"/>
      <c r="S1082" s="134"/>
    </row>
    <row r="1083" spans="1:19" s="75" customFormat="1" ht="14.6">
      <c r="A1083" s="90"/>
      <c r="B1083" s="90"/>
      <c r="D1083" s="91"/>
      <c r="E1083" s="77"/>
      <c r="M1083" s="133"/>
      <c r="N1083" s="135"/>
      <c r="O1083" s="133"/>
      <c r="P1083" s="136"/>
      <c r="Q1083" s="134"/>
      <c r="R1083" s="134"/>
      <c r="S1083" s="134"/>
    </row>
    <row r="1084" spans="1:19" s="75" customFormat="1" ht="14.6">
      <c r="A1084" s="90"/>
      <c r="B1084" s="90"/>
      <c r="D1084" s="91"/>
      <c r="E1084" s="77"/>
      <c r="M1084" s="133"/>
      <c r="N1084" s="135"/>
      <c r="O1084" s="133"/>
      <c r="P1084" s="136"/>
      <c r="Q1084" s="134"/>
      <c r="R1084" s="134"/>
      <c r="S1084" s="134"/>
    </row>
    <row r="1085" spans="1:19" s="75" customFormat="1" ht="14.6">
      <c r="A1085" s="90"/>
      <c r="B1085" s="90"/>
      <c r="D1085" s="91"/>
      <c r="E1085" s="77"/>
      <c r="M1085" s="133"/>
      <c r="N1085" s="135"/>
      <c r="O1085" s="133"/>
      <c r="P1085" s="136"/>
      <c r="Q1085" s="134"/>
      <c r="R1085" s="134"/>
      <c r="S1085" s="134"/>
    </row>
    <row r="1086" spans="1:19" s="75" customFormat="1" ht="14.6">
      <c r="A1086" s="90"/>
      <c r="B1086" s="90"/>
      <c r="D1086" s="91"/>
      <c r="E1086" s="77"/>
      <c r="M1086" s="133"/>
      <c r="N1086" s="135"/>
      <c r="O1086" s="133"/>
      <c r="P1086" s="136"/>
      <c r="Q1086" s="134"/>
      <c r="R1086" s="134"/>
      <c r="S1086" s="134"/>
    </row>
    <row r="1087" spans="1:19" s="75" customFormat="1" ht="14.6">
      <c r="A1087" s="90"/>
      <c r="B1087" s="90"/>
      <c r="D1087" s="91"/>
      <c r="E1087" s="77"/>
      <c r="M1087" s="133"/>
      <c r="N1087" s="135"/>
      <c r="O1087" s="133"/>
      <c r="P1087" s="136"/>
      <c r="Q1087" s="134"/>
      <c r="R1087" s="134"/>
      <c r="S1087" s="134"/>
    </row>
    <row r="1088" spans="1:19" s="75" customFormat="1" ht="14.6">
      <c r="A1088" s="90"/>
      <c r="B1088" s="90"/>
      <c r="D1088" s="91"/>
      <c r="E1088" s="77"/>
      <c r="M1088" s="133"/>
      <c r="N1088" s="135"/>
      <c r="O1088" s="133"/>
      <c r="P1088" s="136"/>
      <c r="Q1088" s="134"/>
      <c r="R1088" s="134"/>
      <c r="S1088" s="134"/>
    </row>
    <row r="1089" spans="1:19" s="75" customFormat="1" ht="14.6">
      <c r="A1089" s="90"/>
      <c r="B1089" s="90"/>
      <c r="C1089" s="89"/>
      <c r="D1089" s="91"/>
      <c r="E1089" s="77"/>
      <c r="M1089" s="133"/>
      <c r="N1089" s="135"/>
      <c r="O1089" s="133"/>
      <c r="P1089" s="136"/>
      <c r="Q1089" s="134"/>
      <c r="R1089" s="134"/>
      <c r="S1089" s="134"/>
    </row>
    <row r="1090" spans="1:19" s="75" customFormat="1" ht="14.6">
      <c r="A1090" s="90"/>
      <c r="B1090" s="90"/>
      <c r="C1090" s="89"/>
      <c r="D1090" s="91"/>
      <c r="E1090" s="77"/>
      <c r="M1090" s="133"/>
      <c r="N1090" s="135"/>
      <c r="O1090" s="133"/>
      <c r="P1090" s="136"/>
      <c r="Q1090" s="134"/>
      <c r="R1090" s="134"/>
      <c r="S1090" s="134"/>
    </row>
    <row r="1091" spans="1:19" s="75" customFormat="1" ht="14.6">
      <c r="A1091" s="90"/>
      <c r="B1091" s="90"/>
      <c r="C1091" s="89"/>
      <c r="D1091" s="91"/>
      <c r="E1091" s="77"/>
      <c r="M1091" s="133"/>
      <c r="N1091" s="135"/>
      <c r="O1091" s="133"/>
      <c r="P1091" s="136"/>
      <c r="Q1091" s="134"/>
      <c r="R1091" s="134"/>
      <c r="S1091" s="134"/>
    </row>
    <row r="1092" spans="1:19" s="75" customFormat="1" ht="14.6">
      <c r="A1092" s="90"/>
      <c r="B1092" s="90"/>
      <c r="C1092" s="89"/>
      <c r="D1092" s="91"/>
      <c r="E1092" s="77"/>
      <c r="M1092" s="133"/>
      <c r="N1092" s="135"/>
      <c r="O1092" s="133"/>
      <c r="P1092" s="136"/>
      <c r="Q1092" s="134"/>
      <c r="R1092" s="134"/>
      <c r="S1092" s="134"/>
    </row>
    <row r="1093" spans="1:19" s="75" customFormat="1" ht="14.6">
      <c r="A1093" s="90"/>
      <c r="B1093" s="90"/>
      <c r="C1093" s="89"/>
      <c r="D1093" s="91"/>
      <c r="E1093" s="77"/>
      <c r="M1093" s="133"/>
      <c r="N1093" s="135"/>
      <c r="O1093" s="133"/>
      <c r="P1093" s="136"/>
      <c r="Q1093" s="134"/>
      <c r="R1093" s="134"/>
      <c r="S1093" s="134"/>
    </row>
    <row r="1094" spans="1:19" s="75" customFormat="1" ht="14.6">
      <c r="A1094" s="90"/>
      <c r="B1094" s="90"/>
      <c r="C1094" s="89"/>
      <c r="D1094" s="91"/>
      <c r="E1094" s="77"/>
      <c r="M1094" s="133"/>
      <c r="N1094" s="135"/>
      <c r="O1094" s="133"/>
      <c r="P1094" s="136"/>
      <c r="Q1094" s="134"/>
      <c r="R1094" s="134"/>
      <c r="S1094" s="134"/>
    </row>
    <row r="1095" spans="1:19" s="75" customFormat="1" ht="14.6">
      <c r="A1095" s="90"/>
      <c r="B1095" s="90"/>
      <c r="C1095" s="89"/>
      <c r="D1095" s="91"/>
      <c r="E1095" s="77"/>
      <c r="M1095" s="133"/>
      <c r="N1095" s="135"/>
      <c r="O1095" s="133"/>
      <c r="P1095" s="136"/>
      <c r="Q1095" s="134"/>
      <c r="R1095" s="134"/>
      <c r="S1095" s="134"/>
    </row>
    <row r="1096" spans="1:19" s="75" customFormat="1" ht="14.6">
      <c r="A1096" s="90"/>
      <c r="B1096" s="90"/>
      <c r="C1096" s="89"/>
      <c r="D1096" s="91"/>
      <c r="E1096" s="77"/>
      <c r="M1096" s="133"/>
      <c r="N1096" s="135"/>
      <c r="O1096" s="133"/>
      <c r="P1096" s="136"/>
      <c r="Q1096" s="134"/>
      <c r="R1096" s="134"/>
      <c r="S1096" s="134"/>
    </row>
    <row r="1097" spans="1:19" s="75" customFormat="1" ht="14.6">
      <c r="A1097" s="90"/>
      <c r="B1097" s="90"/>
      <c r="C1097" s="89"/>
      <c r="D1097" s="91"/>
      <c r="E1097" s="77"/>
      <c r="M1097" s="133"/>
      <c r="N1097" s="135"/>
      <c r="O1097" s="133"/>
      <c r="P1097" s="136"/>
      <c r="Q1097" s="134"/>
      <c r="R1097" s="134"/>
      <c r="S1097" s="134"/>
    </row>
    <row r="1098" spans="1:19" s="75" customFormat="1" ht="14.6">
      <c r="A1098" s="90"/>
      <c r="B1098" s="90"/>
      <c r="C1098" s="89"/>
      <c r="D1098" s="91"/>
      <c r="E1098" s="77"/>
      <c r="M1098" s="133"/>
      <c r="N1098" s="135"/>
      <c r="O1098" s="133"/>
      <c r="P1098" s="136"/>
      <c r="Q1098" s="134"/>
      <c r="R1098" s="134"/>
      <c r="S1098" s="134"/>
    </row>
    <row r="1099" spans="1:19" s="75" customFormat="1" ht="14.6">
      <c r="A1099" s="90"/>
      <c r="B1099" s="90"/>
      <c r="C1099" s="89"/>
      <c r="D1099" s="91"/>
      <c r="E1099" s="77"/>
      <c r="M1099" s="133"/>
      <c r="N1099" s="135"/>
      <c r="O1099" s="133"/>
      <c r="P1099" s="136"/>
      <c r="Q1099" s="134"/>
      <c r="R1099" s="134"/>
      <c r="S1099" s="134"/>
    </row>
    <row r="1100" spans="1:19" s="75" customFormat="1" ht="14.6">
      <c r="A1100" s="90"/>
      <c r="B1100" s="90"/>
      <c r="C1100" s="89"/>
      <c r="D1100" s="91"/>
      <c r="E1100" s="77"/>
      <c r="M1100" s="133"/>
      <c r="N1100" s="135"/>
      <c r="O1100" s="133"/>
      <c r="P1100" s="136"/>
      <c r="Q1100" s="134"/>
      <c r="R1100" s="134"/>
      <c r="S1100" s="134"/>
    </row>
    <row r="1101" spans="1:19" s="75" customFormat="1" ht="14.6">
      <c r="A1101" s="90"/>
      <c r="B1101" s="90"/>
      <c r="C1101" s="89"/>
      <c r="D1101" s="91"/>
      <c r="E1101" s="77"/>
      <c r="M1101" s="133"/>
      <c r="N1101" s="135"/>
      <c r="O1101" s="133"/>
      <c r="P1101" s="136"/>
      <c r="Q1101" s="134"/>
      <c r="R1101" s="134"/>
      <c r="S1101" s="134"/>
    </row>
    <row r="1102" spans="1:19" s="75" customFormat="1" ht="14.6">
      <c r="A1102" s="90"/>
      <c r="B1102" s="90"/>
      <c r="C1102" s="89"/>
      <c r="D1102" s="91"/>
      <c r="E1102" s="77"/>
      <c r="M1102" s="133"/>
      <c r="N1102" s="135"/>
      <c r="O1102" s="133"/>
      <c r="P1102" s="136"/>
      <c r="Q1102" s="134"/>
      <c r="R1102" s="134"/>
      <c r="S1102" s="134"/>
    </row>
    <row r="1103" spans="1:19" s="75" customFormat="1" ht="14.6">
      <c r="A1103" s="90"/>
      <c r="B1103" s="90"/>
      <c r="C1103" s="89"/>
      <c r="D1103" s="91"/>
      <c r="E1103" s="77"/>
      <c r="M1103" s="133"/>
      <c r="N1103" s="135"/>
      <c r="O1103" s="133"/>
      <c r="P1103" s="136"/>
      <c r="Q1103" s="134"/>
      <c r="R1103" s="134"/>
      <c r="S1103" s="134"/>
    </row>
    <row r="1104" spans="1:19" s="75" customFormat="1" ht="14.6">
      <c r="A1104" s="90"/>
      <c r="B1104" s="90"/>
      <c r="C1104" s="89"/>
      <c r="D1104" s="91"/>
      <c r="E1104" s="77"/>
      <c r="M1104" s="133"/>
      <c r="N1104" s="135"/>
      <c r="O1104" s="133"/>
      <c r="P1104" s="136"/>
      <c r="Q1104" s="134"/>
      <c r="R1104" s="134"/>
      <c r="S1104" s="134"/>
    </row>
    <row r="1105" spans="1:19" s="75" customFormat="1" ht="14.6">
      <c r="A1105" s="90"/>
      <c r="B1105" s="90"/>
      <c r="C1105" s="89"/>
      <c r="D1105" s="91"/>
      <c r="E1105" s="77"/>
      <c r="M1105" s="133"/>
      <c r="N1105" s="135"/>
      <c r="O1105" s="133"/>
      <c r="P1105" s="136"/>
      <c r="Q1105" s="134"/>
      <c r="R1105" s="134"/>
      <c r="S1105" s="134"/>
    </row>
    <row r="1106" spans="1:19" s="75" customFormat="1" ht="14.6">
      <c r="A1106" s="90"/>
      <c r="B1106" s="90"/>
      <c r="C1106" s="89"/>
      <c r="D1106" s="91"/>
      <c r="E1106" s="77"/>
      <c r="M1106" s="133"/>
      <c r="N1106" s="135"/>
      <c r="O1106" s="133"/>
      <c r="P1106" s="136"/>
      <c r="Q1106" s="134"/>
      <c r="R1106" s="134"/>
      <c r="S1106" s="134"/>
    </row>
    <row r="1107" spans="1:19" s="75" customFormat="1" ht="14.6">
      <c r="A1107" s="90"/>
      <c r="B1107" s="90"/>
      <c r="C1107" s="89"/>
      <c r="D1107" s="91"/>
      <c r="E1107" s="77"/>
      <c r="M1107" s="133"/>
      <c r="N1107" s="135"/>
      <c r="O1107" s="133"/>
      <c r="P1107" s="136"/>
      <c r="Q1107" s="134"/>
      <c r="R1107" s="134"/>
      <c r="S1107" s="134"/>
    </row>
    <row r="1108" spans="1:19" s="75" customFormat="1" ht="14.6">
      <c r="A1108" s="90"/>
      <c r="B1108" s="90"/>
      <c r="C1108" s="89"/>
      <c r="D1108" s="91"/>
      <c r="E1108" s="77"/>
      <c r="M1108" s="133"/>
      <c r="N1108" s="135"/>
      <c r="O1108" s="133"/>
      <c r="P1108" s="136"/>
      <c r="Q1108" s="134"/>
      <c r="R1108" s="134"/>
      <c r="S1108" s="134"/>
    </row>
    <row r="1109" spans="1:19" s="75" customFormat="1" ht="14.6">
      <c r="A1109" s="90"/>
      <c r="B1109" s="90"/>
      <c r="C1109" s="89"/>
      <c r="D1109" s="91"/>
      <c r="E1109" s="77"/>
      <c r="M1109" s="133"/>
      <c r="N1109" s="135"/>
      <c r="O1109" s="133"/>
      <c r="P1109" s="136"/>
      <c r="Q1109" s="134"/>
      <c r="R1109" s="134"/>
      <c r="S1109" s="134"/>
    </row>
    <row r="1110" spans="1:19" s="75" customFormat="1" ht="14.6">
      <c r="A1110" s="90"/>
      <c r="B1110" s="90"/>
      <c r="C1110" s="89"/>
      <c r="D1110" s="91"/>
      <c r="E1110" s="77"/>
      <c r="M1110" s="133"/>
      <c r="N1110" s="135"/>
      <c r="O1110" s="133"/>
      <c r="P1110" s="136"/>
      <c r="Q1110" s="134"/>
      <c r="R1110" s="134"/>
      <c r="S1110" s="134"/>
    </row>
    <row r="1111" spans="1:19" s="75" customFormat="1" ht="14.6">
      <c r="A1111" s="90"/>
      <c r="B1111" s="90"/>
      <c r="C1111" s="89"/>
      <c r="D1111" s="91"/>
      <c r="E1111" s="77"/>
      <c r="M1111" s="133"/>
      <c r="N1111" s="135"/>
      <c r="O1111" s="133"/>
      <c r="P1111" s="136"/>
      <c r="Q1111" s="134"/>
      <c r="R1111" s="134"/>
      <c r="S1111" s="134"/>
    </row>
    <row r="1112" spans="1:19" s="75" customFormat="1" ht="14.6">
      <c r="A1112" s="90"/>
      <c r="B1112" s="90"/>
      <c r="C1112" s="89"/>
      <c r="D1112" s="91"/>
      <c r="E1112" s="77"/>
      <c r="M1112" s="133"/>
      <c r="N1112" s="135"/>
      <c r="O1112" s="133"/>
      <c r="P1112" s="136"/>
      <c r="Q1112" s="134"/>
      <c r="R1112" s="134"/>
      <c r="S1112" s="134"/>
    </row>
    <row r="1113" spans="1:19" s="75" customFormat="1" ht="14.6">
      <c r="A1113" s="90"/>
      <c r="B1113" s="90"/>
      <c r="C1113" s="89"/>
      <c r="D1113" s="91"/>
      <c r="E1113" s="77"/>
      <c r="M1113" s="133"/>
      <c r="N1113" s="135"/>
      <c r="O1113" s="133"/>
      <c r="P1113" s="136"/>
      <c r="Q1113" s="134"/>
      <c r="R1113" s="134"/>
      <c r="S1113" s="134"/>
    </row>
    <row r="1114" spans="1:19" s="75" customFormat="1" ht="14.6">
      <c r="A1114" s="90"/>
      <c r="B1114" s="90"/>
      <c r="C1114" s="89"/>
      <c r="D1114" s="91"/>
      <c r="E1114" s="77"/>
      <c r="M1114" s="133"/>
      <c r="N1114" s="135"/>
      <c r="O1114" s="133"/>
      <c r="P1114" s="136"/>
      <c r="Q1114" s="134"/>
      <c r="R1114" s="134"/>
      <c r="S1114" s="134"/>
    </row>
    <row r="1115" spans="1:19" s="75" customFormat="1" ht="14.6">
      <c r="A1115" s="90"/>
      <c r="B1115" s="90"/>
      <c r="C1115" s="89"/>
      <c r="D1115" s="91"/>
      <c r="E1115" s="77"/>
      <c r="M1115" s="133"/>
      <c r="N1115" s="135"/>
      <c r="O1115" s="133"/>
      <c r="P1115" s="136"/>
      <c r="Q1115" s="134"/>
      <c r="R1115" s="134"/>
      <c r="S1115" s="134"/>
    </row>
    <row r="1116" spans="1:19" s="75" customFormat="1" ht="14.6">
      <c r="A1116" s="90"/>
      <c r="B1116" s="90"/>
      <c r="C1116" s="89"/>
      <c r="D1116" s="91"/>
      <c r="E1116" s="77"/>
      <c r="M1116" s="133"/>
      <c r="N1116" s="135"/>
      <c r="O1116" s="133"/>
      <c r="P1116" s="136"/>
      <c r="Q1116" s="134"/>
      <c r="R1116" s="134"/>
      <c r="S1116" s="134"/>
    </row>
    <row r="1117" spans="1:19" s="75" customFormat="1" ht="14.6">
      <c r="A1117" s="90"/>
      <c r="B1117" s="90"/>
      <c r="C1117" s="89"/>
      <c r="D1117" s="91"/>
      <c r="E1117" s="77"/>
      <c r="M1117" s="133"/>
      <c r="N1117" s="135"/>
      <c r="O1117" s="133"/>
      <c r="P1117" s="136"/>
      <c r="Q1117" s="134"/>
      <c r="R1117" s="134"/>
      <c r="S1117" s="134"/>
    </row>
    <row r="1118" spans="1:19" s="75" customFormat="1" ht="14.6">
      <c r="A1118" s="90"/>
      <c r="B1118" s="90"/>
      <c r="C1118" s="89"/>
      <c r="D1118" s="91"/>
      <c r="E1118" s="77"/>
      <c r="M1118" s="133"/>
      <c r="N1118" s="135"/>
      <c r="O1118" s="133"/>
      <c r="P1118" s="136"/>
      <c r="Q1118" s="134"/>
      <c r="R1118" s="134"/>
      <c r="S1118" s="134"/>
    </row>
    <row r="1119" spans="1:19" s="75" customFormat="1" ht="14.6">
      <c r="A1119" s="90"/>
      <c r="B1119" s="90"/>
      <c r="C1119" s="89"/>
      <c r="D1119" s="91"/>
      <c r="E1119" s="77"/>
      <c r="M1119" s="133"/>
      <c r="N1119" s="135"/>
      <c r="O1119" s="133"/>
      <c r="P1119" s="136"/>
      <c r="Q1119" s="134"/>
      <c r="R1119" s="134"/>
      <c r="S1119" s="134"/>
    </row>
    <row r="1120" spans="1:19" s="75" customFormat="1" ht="14.6">
      <c r="A1120" s="90"/>
      <c r="B1120" s="90"/>
      <c r="C1120" s="89"/>
      <c r="D1120" s="91"/>
      <c r="E1120" s="77"/>
      <c r="M1120" s="133"/>
      <c r="N1120" s="135"/>
      <c r="O1120" s="133"/>
      <c r="P1120" s="136"/>
      <c r="Q1120" s="134"/>
      <c r="R1120" s="134"/>
      <c r="S1120" s="134"/>
    </row>
    <row r="1121" spans="1:19" s="75" customFormat="1" ht="14.6">
      <c r="A1121" s="90"/>
      <c r="B1121" s="90"/>
      <c r="C1121" s="89"/>
      <c r="D1121" s="91"/>
      <c r="E1121" s="77"/>
      <c r="M1121" s="133"/>
      <c r="N1121" s="135"/>
      <c r="O1121" s="133"/>
      <c r="P1121" s="136"/>
      <c r="Q1121" s="134"/>
      <c r="R1121" s="134"/>
      <c r="S1121" s="134"/>
    </row>
    <row r="1122" spans="1:19" s="75" customFormat="1" ht="14.6">
      <c r="A1122" s="90"/>
      <c r="B1122" s="90"/>
      <c r="C1122" s="89"/>
      <c r="D1122" s="91"/>
      <c r="E1122" s="77"/>
      <c r="M1122" s="133"/>
      <c r="N1122" s="135"/>
      <c r="O1122" s="133"/>
      <c r="P1122" s="136"/>
      <c r="Q1122" s="134"/>
      <c r="R1122" s="134"/>
      <c r="S1122" s="134"/>
    </row>
    <row r="1123" spans="1:19" s="75" customFormat="1" ht="14.6">
      <c r="A1123" s="90"/>
      <c r="B1123" s="90"/>
      <c r="C1123" s="89"/>
      <c r="D1123" s="91"/>
      <c r="E1123" s="77"/>
      <c r="M1123" s="133"/>
      <c r="N1123" s="135"/>
      <c r="O1123" s="133"/>
      <c r="P1123" s="136"/>
      <c r="Q1123" s="134"/>
      <c r="R1123" s="134"/>
      <c r="S1123" s="134"/>
    </row>
    <row r="1124" spans="1:19" s="75" customFormat="1" ht="14.6">
      <c r="A1124" s="90"/>
      <c r="B1124" s="90"/>
      <c r="C1124" s="89"/>
      <c r="D1124" s="91"/>
      <c r="E1124" s="77"/>
      <c r="M1124" s="133"/>
      <c r="N1124" s="135"/>
      <c r="O1124" s="133"/>
      <c r="P1124" s="136"/>
      <c r="Q1124" s="134"/>
      <c r="R1124" s="134"/>
      <c r="S1124" s="134"/>
    </row>
    <row r="1125" spans="1:19" s="75" customFormat="1" ht="14.6">
      <c r="A1125" s="90"/>
      <c r="B1125" s="90"/>
      <c r="C1125" s="89"/>
      <c r="D1125" s="91"/>
      <c r="E1125" s="77"/>
      <c r="M1125" s="133"/>
      <c r="N1125" s="135"/>
      <c r="O1125" s="133"/>
      <c r="P1125" s="136"/>
      <c r="Q1125" s="134"/>
      <c r="R1125" s="134"/>
      <c r="S1125" s="134"/>
    </row>
    <row r="1126" spans="1:19" s="75" customFormat="1" ht="14.6">
      <c r="A1126" s="90"/>
      <c r="B1126" s="90"/>
      <c r="C1126" s="89"/>
      <c r="D1126" s="91"/>
      <c r="E1126" s="77"/>
      <c r="M1126" s="133"/>
      <c r="N1126" s="135"/>
      <c r="O1126" s="133"/>
      <c r="P1126" s="136"/>
      <c r="Q1126" s="134"/>
      <c r="R1126" s="134"/>
      <c r="S1126" s="134"/>
    </row>
    <row r="1127" spans="1:19" s="75" customFormat="1" ht="14.6">
      <c r="A1127" s="90"/>
      <c r="B1127" s="90"/>
      <c r="C1127" s="89"/>
      <c r="D1127" s="91"/>
      <c r="E1127" s="77"/>
      <c r="M1127" s="133"/>
      <c r="N1127" s="135"/>
      <c r="O1127" s="133"/>
      <c r="P1127" s="136"/>
      <c r="Q1127" s="134"/>
      <c r="R1127" s="134"/>
      <c r="S1127" s="134"/>
    </row>
    <row r="1128" spans="1:19" s="75" customFormat="1" ht="14.6">
      <c r="A1128" s="90"/>
      <c r="B1128" s="90"/>
      <c r="C1128" s="89"/>
      <c r="D1128" s="91"/>
      <c r="E1128" s="77"/>
      <c r="M1128" s="133"/>
      <c r="N1128" s="135"/>
      <c r="O1128" s="133"/>
      <c r="P1128" s="136"/>
      <c r="Q1128" s="134"/>
      <c r="R1128" s="134"/>
      <c r="S1128" s="134"/>
    </row>
    <row r="1129" spans="1:19" s="75" customFormat="1" ht="14.6">
      <c r="A1129" s="90"/>
      <c r="B1129" s="90"/>
      <c r="C1129" s="89"/>
      <c r="D1129" s="91"/>
      <c r="E1129" s="77"/>
      <c r="M1129" s="133"/>
      <c r="N1129" s="135"/>
      <c r="O1129" s="133"/>
      <c r="P1129" s="136"/>
      <c r="Q1129" s="134"/>
      <c r="R1129" s="134"/>
      <c r="S1129" s="134"/>
    </row>
    <row r="1130" spans="1:19" s="75" customFormat="1" ht="14.6">
      <c r="A1130" s="90"/>
      <c r="B1130" s="90"/>
      <c r="C1130" s="89"/>
      <c r="D1130" s="91"/>
      <c r="E1130" s="77"/>
      <c r="M1130" s="133"/>
      <c r="N1130" s="135"/>
      <c r="O1130" s="133"/>
      <c r="P1130" s="136"/>
      <c r="Q1130" s="134"/>
      <c r="R1130" s="134"/>
      <c r="S1130" s="134"/>
    </row>
    <row r="1131" spans="1:19" s="75" customFormat="1" ht="14.6">
      <c r="A1131" s="90"/>
      <c r="B1131" s="90"/>
      <c r="C1131" s="89"/>
      <c r="D1131" s="91"/>
      <c r="E1131" s="77"/>
      <c r="M1131" s="133"/>
      <c r="N1131" s="135"/>
      <c r="O1131" s="133"/>
      <c r="P1131" s="136"/>
      <c r="Q1131" s="134"/>
      <c r="R1131" s="134"/>
      <c r="S1131" s="134"/>
    </row>
    <row r="1132" spans="1:19" s="75" customFormat="1" ht="14.6">
      <c r="A1132" s="90"/>
      <c r="B1132" s="90"/>
      <c r="C1132" s="89"/>
      <c r="D1132" s="91"/>
      <c r="E1132" s="77"/>
      <c r="M1132" s="133"/>
      <c r="N1132" s="135"/>
      <c r="O1132" s="133"/>
      <c r="P1132" s="136"/>
      <c r="Q1132" s="134"/>
      <c r="R1132" s="134"/>
      <c r="S1132" s="134"/>
    </row>
    <row r="1133" spans="1:19" s="75" customFormat="1" ht="14.6">
      <c r="A1133" s="90"/>
      <c r="B1133" s="90"/>
      <c r="C1133" s="89"/>
      <c r="D1133" s="91"/>
      <c r="E1133" s="77"/>
      <c r="M1133" s="133"/>
      <c r="N1133" s="135"/>
      <c r="O1133" s="133"/>
      <c r="P1133" s="136"/>
      <c r="Q1133" s="134"/>
      <c r="R1133" s="134"/>
      <c r="S1133" s="134"/>
    </row>
    <row r="1134" spans="1:19" s="75" customFormat="1" ht="14.6">
      <c r="A1134" s="90"/>
      <c r="B1134" s="90"/>
      <c r="C1134" s="89"/>
      <c r="D1134" s="91"/>
      <c r="E1134" s="77"/>
      <c r="M1134" s="133"/>
      <c r="N1134" s="135"/>
      <c r="O1134" s="133"/>
      <c r="P1134" s="136"/>
      <c r="Q1134" s="134"/>
      <c r="R1134" s="134"/>
      <c r="S1134" s="134"/>
    </row>
    <row r="1135" spans="1:19" s="75" customFormat="1" ht="14.6">
      <c r="A1135" s="90"/>
      <c r="B1135" s="90"/>
      <c r="C1135" s="89"/>
      <c r="D1135" s="91"/>
      <c r="E1135" s="77"/>
      <c r="M1135" s="133"/>
      <c r="N1135" s="135"/>
      <c r="O1135" s="133"/>
      <c r="P1135" s="136"/>
      <c r="Q1135" s="134"/>
      <c r="R1135" s="134"/>
      <c r="S1135" s="134"/>
    </row>
    <row r="1136" spans="1:19" s="75" customFormat="1" ht="14.6">
      <c r="A1136" s="90"/>
      <c r="B1136" s="90"/>
      <c r="C1136" s="89"/>
      <c r="D1136" s="91"/>
      <c r="E1136" s="77"/>
      <c r="M1136" s="133"/>
      <c r="N1136" s="135"/>
      <c r="O1136" s="133"/>
      <c r="P1136" s="136"/>
      <c r="Q1136" s="134"/>
      <c r="R1136" s="134"/>
      <c r="S1136" s="134"/>
    </row>
    <row r="1137" spans="1:19" s="75" customFormat="1" ht="14.6">
      <c r="A1137" s="90"/>
      <c r="B1137" s="90"/>
      <c r="C1137" s="89"/>
      <c r="D1137" s="91"/>
      <c r="E1137" s="77"/>
      <c r="M1137" s="133"/>
      <c r="N1137" s="135"/>
      <c r="O1137" s="133"/>
      <c r="P1137" s="136"/>
      <c r="Q1137" s="134"/>
      <c r="R1137" s="134"/>
      <c r="S1137" s="134"/>
    </row>
    <row r="1138" spans="1:19" s="75" customFormat="1" ht="14.6">
      <c r="A1138" s="90"/>
      <c r="B1138" s="90"/>
      <c r="C1138" s="89"/>
      <c r="D1138" s="91"/>
      <c r="E1138" s="77"/>
      <c r="M1138" s="133"/>
      <c r="N1138" s="135"/>
      <c r="O1138" s="133"/>
      <c r="P1138" s="136"/>
      <c r="Q1138" s="134"/>
      <c r="R1138" s="134"/>
      <c r="S1138" s="134"/>
    </row>
    <row r="1139" spans="1:19" s="75" customFormat="1" ht="14.6">
      <c r="A1139" s="90"/>
      <c r="B1139" s="90"/>
      <c r="C1139" s="89"/>
      <c r="D1139" s="91"/>
      <c r="E1139" s="77"/>
      <c r="M1139" s="133"/>
      <c r="N1139" s="135"/>
      <c r="O1139" s="133"/>
      <c r="P1139" s="136"/>
      <c r="Q1139" s="134"/>
      <c r="R1139" s="134"/>
      <c r="S1139" s="134"/>
    </row>
    <row r="1140" spans="1:19" s="75" customFormat="1" ht="14.6">
      <c r="A1140" s="90"/>
      <c r="B1140" s="90"/>
      <c r="C1140" s="89"/>
      <c r="D1140" s="91"/>
      <c r="E1140" s="77"/>
      <c r="M1140" s="133"/>
      <c r="N1140" s="135"/>
      <c r="O1140" s="133"/>
      <c r="P1140" s="136"/>
      <c r="Q1140" s="134"/>
      <c r="R1140" s="134"/>
      <c r="S1140" s="134"/>
    </row>
    <row r="1141" spans="1:19" s="75" customFormat="1" ht="14.6">
      <c r="A1141" s="90"/>
      <c r="B1141" s="90"/>
      <c r="C1141" s="89"/>
      <c r="D1141" s="91"/>
      <c r="E1141" s="77"/>
      <c r="M1141" s="133"/>
      <c r="N1141" s="135"/>
      <c r="O1141" s="133"/>
      <c r="P1141" s="136"/>
      <c r="Q1141" s="134"/>
      <c r="R1141" s="134"/>
      <c r="S1141" s="134"/>
    </row>
    <row r="1142" spans="1:19" s="75" customFormat="1" ht="14.6">
      <c r="A1142" s="90"/>
      <c r="B1142" s="90"/>
      <c r="C1142" s="89"/>
      <c r="D1142" s="91"/>
      <c r="E1142" s="77"/>
      <c r="M1142" s="133"/>
      <c r="N1142" s="135"/>
      <c r="O1142" s="133"/>
      <c r="P1142" s="136"/>
      <c r="Q1142" s="134"/>
      <c r="R1142" s="134"/>
      <c r="S1142" s="134"/>
    </row>
    <row r="1143" spans="1:19" s="75" customFormat="1" ht="14.6">
      <c r="A1143" s="90"/>
      <c r="B1143" s="90"/>
      <c r="C1143" s="89"/>
      <c r="D1143" s="91"/>
      <c r="E1143" s="77"/>
      <c r="M1143" s="133"/>
      <c r="N1143" s="135"/>
      <c r="O1143" s="133"/>
      <c r="P1143" s="136"/>
      <c r="Q1143" s="134"/>
      <c r="R1143" s="134"/>
      <c r="S1143" s="134"/>
    </row>
    <row r="1144" spans="1:19" s="75" customFormat="1" ht="14.6">
      <c r="A1144" s="90"/>
      <c r="B1144" s="90"/>
      <c r="C1144" s="89"/>
      <c r="D1144" s="91"/>
      <c r="E1144" s="77"/>
      <c r="M1144" s="133"/>
      <c r="N1144" s="135"/>
      <c r="O1144" s="133"/>
      <c r="P1144" s="136"/>
      <c r="Q1144" s="134"/>
      <c r="R1144" s="134"/>
      <c r="S1144" s="134"/>
    </row>
    <row r="1145" spans="1:19" s="75" customFormat="1" ht="14.6">
      <c r="A1145" s="90"/>
      <c r="B1145" s="90"/>
      <c r="C1145" s="89"/>
      <c r="D1145" s="91"/>
      <c r="E1145" s="77"/>
      <c r="M1145" s="133"/>
      <c r="N1145" s="135"/>
      <c r="O1145" s="133"/>
      <c r="P1145" s="136"/>
      <c r="Q1145" s="134"/>
      <c r="R1145" s="134"/>
      <c r="S1145" s="134"/>
    </row>
    <row r="1146" spans="1:19" s="75" customFormat="1" ht="14.6">
      <c r="A1146" s="90"/>
      <c r="B1146" s="90"/>
      <c r="C1146" s="89"/>
      <c r="D1146" s="91"/>
      <c r="E1146" s="77"/>
      <c r="M1146" s="133"/>
      <c r="N1146" s="135"/>
      <c r="O1146" s="133"/>
      <c r="P1146" s="136"/>
      <c r="Q1146" s="134"/>
      <c r="R1146" s="134"/>
      <c r="S1146" s="134"/>
    </row>
    <row r="1147" spans="1:19" s="75" customFormat="1" ht="14.6">
      <c r="A1147" s="90"/>
      <c r="B1147" s="90"/>
      <c r="C1147" s="89"/>
      <c r="D1147" s="91"/>
      <c r="E1147" s="77"/>
      <c r="M1147" s="133"/>
      <c r="N1147" s="135"/>
      <c r="O1147" s="133"/>
      <c r="P1147" s="136"/>
      <c r="Q1147" s="134"/>
      <c r="R1147" s="134"/>
      <c r="S1147" s="134"/>
    </row>
    <row r="1148" spans="1:19" s="75" customFormat="1" ht="14.6">
      <c r="A1148" s="90"/>
      <c r="B1148" s="90"/>
      <c r="C1148" s="89"/>
      <c r="D1148" s="91"/>
      <c r="E1148" s="77"/>
      <c r="M1148" s="133"/>
      <c r="N1148" s="135"/>
      <c r="O1148" s="133"/>
      <c r="P1148" s="136"/>
      <c r="Q1148" s="134"/>
      <c r="R1148" s="134"/>
      <c r="S1148" s="134"/>
    </row>
    <row r="1149" spans="1:19" s="75" customFormat="1" ht="14.6">
      <c r="A1149" s="90"/>
      <c r="B1149" s="90"/>
      <c r="C1149" s="89"/>
      <c r="D1149" s="91"/>
      <c r="E1149" s="77"/>
      <c r="M1149" s="133"/>
      <c r="N1149" s="135"/>
      <c r="O1149" s="133"/>
      <c r="P1149" s="136"/>
      <c r="Q1149" s="134"/>
      <c r="R1149" s="134"/>
      <c r="S1149" s="134"/>
    </row>
    <row r="1150" spans="1:19" s="75" customFormat="1" ht="14.6">
      <c r="A1150" s="90"/>
      <c r="B1150" s="90"/>
      <c r="C1150" s="89"/>
      <c r="D1150" s="91"/>
      <c r="E1150" s="77"/>
      <c r="M1150" s="133"/>
      <c r="N1150" s="135"/>
      <c r="O1150" s="133"/>
      <c r="P1150" s="136"/>
      <c r="Q1150" s="134"/>
      <c r="R1150" s="134"/>
      <c r="S1150" s="134"/>
    </row>
    <row r="1151" spans="1:19" s="75" customFormat="1" ht="14.6">
      <c r="A1151" s="90"/>
      <c r="B1151" s="90"/>
      <c r="C1151" s="89"/>
      <c r="D1151" s="91"/>
      <c r="E1151" s="77"/>
      <c r="M1151" s="133"/>
      <c r="N1151" s="135"/>
      <c r="O1151" s="133"/>
      <c r="P1151" s="136"/>
      <c r="Q1151" s="134"/>
      <c r="R1151" s="134"/>
      <c r="S1151" s="134"/>
    </row>
    <row r="1152" spans="1:19" s="75" customFormat="1" ht="14.6">
      <c r="A1152" s="90"/>
      <c r="B1152" s="90"/>
      <c r="C1152" s="89"/>
      <c r="D1152" s="91"/>
      <c r="E1152" s="77"/>
      <c r="M1152" s="133"/>
      <c r="N1152" s="135"/>
      <c r="O1152" s="133"/>
      <c r="P1152" s="136"/>
      <c r="Q1152" s="134"/>
      <c r="R1152" s="134"/>
      <c r="S1152" s="134"/>
    </row>
    <row r="1153" spans="1:19" s="75" customFormat="1" ht="14.6">
      <c r="A1153" s="90"/>
      <c r="B1153" s="90"/>
      <c r="C1153" s="89"/>
      <c r="D1153" s="91"/>
      <c r="E1153" s="77"/>
      <c r="M1153" s="133"/>
      <c r="N1153" s="135"/>
      <c r="O1153" s="133"/>
      <c r="P1153" s="136"/>
      <c r="Q1153" s="134"/>
      <c r="R1153" s="134"/>
      <c r="S1153" s="134"/>
    </row>
    <row r="1154" spans="1:19" s="75" customFormat="1" ht="14.6">
      <c r="A1154" s="90"/>
      <c r="B1154" s="90"/>
      <c r="C1154" s="89"/>
      <c r="D1154" s="91"/>
      <c r="E1154" s="77"/>
      <c r="M1154" s="133"/>
      <c r="N1154" s="135"/>
      <c r="O1154" s="133"/>
      <c r="P1154" s="136"/>
      <c r="Q1154" s="134"/>
      <c r="R1154" s="134"/>
      <c r="S1154" s="134"/>
    </row>
    <row r="1155" spans="1:19" s="75" customFormat="1" ht="14.6">
      <c r="A1155" s="90"/>
      <c r="B1155" s="90"/>
      <c r="C1155" s="89"/>
      <c r="D1155" s="91"/>
      <c r="E1155" s="77"/>
      <c r="M1155" s="133"/>
      <c r="N1155" s="135"/>
      <c r="O1155" s="133"/>
      <c r="P1155" s="136"/>
      <c r="Q1155" s="134"/>
      <c r="R1155" s="134"/>
      <c r="S1155" s="134"/>
    </row>
    <row r="1156" spans="1:19" s="75" customFormat="1" ht="14.6">
      <c r="A1156" s="90"/>
      <c r="B1156" s="90"/>
      <c r="C1156" s="89"/>
      <c r="D1156" s="91"/>
      <c r="E1156" s="77"/>
      <c r="M1156" s="133"/>
      <c r="N1156" s="135"/>
      <c r="O1156" s="133"/>
      <c r="P1156" s="136"/>
      <c r="Q1156" s="134"/>
      <c r="R1156" s="134"/>
      <c r="S1156" s="134"/>
    </row>
    <row r="1157" spans="1:19" s="75" customFormat="1" ht="14.6">
      <c r="A1157" s="90"/>
      <c r="B1157" s="90"/>
      <c r="C1157" s="89"/>
      <c r="D1157" s="91"/>
      <c r="E1157" s="77"/>
      <c r="M1157" s="133"/>
      <c r="N1157" s="135"/>
      <c r="O1157" s="133"/>
      <c r="P1157" s="136"/>
      <c r="Q1157" s="134"/>
      <c r="R1157" s="134"/>
      <c r="S1157" s="134"/>
    </row>
    <row r="1158" spans="1:19" s="75" customFormat="1" ht="14.6">
      <c r="A1158" s="90"/>
      <c r="B1158" s="90"/>
      <c r="C1158" s="89"/>
      <c r="D1158" s="91"/>
      <c r="E1158" s="77"/>
      <c r="M1158" s="133"/>
      <c r="N1158" s="135"/>
      <c r="O1158" s="133"/>
      <c r="P1158" s="136"/>
      <c r="Q1158" s="134"/>
      <c r="R1158" s="134"/>
      <c r="S1158" s="134"/>
    </row>
    <row r="1159" spans="1:19" s="75" customFormat="1" ht="14.6">
      <c r="A1159" s="90"/>
      <c r="B1159" s="90"/>
      <c r="C1159" s="89"/>
      <c r="D1159" s="91"/>
      <c r="E1159" s="77"/>
      <c r="M1159" s="133"/>
      <c r="N1159" s="135"/>
      <c r="O1159" s="133"/>
      <c r="P1159" s="136"/>
      <c r="Q1159" s="134"/>
      <c r="R1159" s="134"/>
      <c r="S1159" s="134"/>
    </row>
    <row r="1160" spans="1:19" s="75" customFormat="1" ht="14.6">
      <c r="A1160" s="90"/>
      <c r="B1160" s="90"/>
      <c r="C1160" s="89"/>
      <c r="D1160" s="91"/>
      <c r="E1160" s="77"/>
      <c r="M1160" s="133"/>
      <c r="N1160" s="135"/>
      <c r="O1160" s="133"/>
      <c r="P1160" s="136"/>
      <c r="Q1160" s="134"/>
      <c r="R1160" s="134"/>
      <c r="S1160" s="134"/>
    </row>
    <row r="1161" spans="1:19" s="75" customFormat="1" ht="14.6">
      <c r="A1161" s="90"/>
      <c r="B1161" s="90"/>
      <c r="C1161" s="89"/>
      <c r="D1161" s="91"/>
      <c r="E1161" s="77"/>
      <c r="M1161" s="133"/>
      <c r="N1161" s="135"/>
      <c r="O1161" s="133"/>
      <c r="P1161" s="136"/>
      <c r="Q1161" s="134"/>
      <c r="R1161" s="134"/>
      <c r="S1161" s="134"/>
    </row>
    <row r="1162" spans="1:19" s="75" customFormat="1" ht="14.6">
      <c r="A1162" s="90"/>
      <c r="B1162" s="90"/>
      <c r="C1162" s="89"/>
      <c r="D1162" s="91"/>
      <c r="E1162" s="77"/>
      <c r="M1162" s="133"/>
      <c r="N1162" s="135"/>
      <c r="O1162" s="133"/>
      <c r="P1162" s="136"/>
      <c r="Q1162" s="134"/>
      <c r="R1162" s="134"/>
      <c r="S1162" s="134"/>
    </row>
    <row r="1163" spans="1:19" s="75" customFormat="1" ht="14.6">
      <c r="A1163" s="90"/>
      <c r="B1163" s="90"/>
      <c r="C1163" s="89"/>
      <c r="D1163" s="91"/>
      <c r="E1163" s="77"/>
      <c r="M1163" s="133"/>
      <c r="N1163" s="135"/>
      <c r="O1163" s="133"/>
      <c r="P1163" s="136"/>
      <c r="Q1163" s="134"/>
      <c r="R1163" s="134"/>
      <c r="S1163" s="134"/>
    </row>
    <row r="1164" spans="1:19" s="75" customFormat="1" ht="14.6">
      <c r="A1164" s="90"/>
      <c r="B1164" s="90"/>
      <c r="C1164" s="89"/>
      <c r="D1164" s="91"/>
      <c r="E1164" s="77"/>
      <c r="M1164" s="133"/>
      <c r="N1164" s="135"/>
      <c r="O1164" s="133"/>
      <c r="P1164" s="136"/>
      <c r="Q1164" s="134"/>
      <c r="R1164" s="134"/>
      <c r="S1164" s="134"/>
    </row>
    <row r="1165" spans="1:19" s="75" customFormat="1" ht="14.6">
      <c r="A1165" s="90"/>
      <c r="B1165" s="90"/>
      <c r="C1165" s="89"/>
      <c r="D1165" s="91"/>
      <c r="E1165" s="77"/>
      <c r="M1165" s="133"/>
      <c r="N1165" s="135"/>
      <c r="O1165" s="133"/>
      <c r="P1165" s="136"/>
      <c r="Q1165" s="134"/>
      <c r="R1165" s="134"/>
      <c r="S1165" s="134"/>
    </row>
    <row r="1166" spans="1:19" s="75" customFormat="1" ht="14.6">
      <c r="A1166" s="90"/>
      <c r="B1166" s="90"/>
      <c r="C1166" s="89"/>
      <c r="D1166" s="91"/>
      <c r="E1166" s="77"/>
      <c r="M1166" s="133"/>
      <c r="N1166" s="135"/>
      <c r="O1166" s="133"/>
      <c r="P1166" s="136"/>
      <c r="Q1166" s="134"/>
      <c r="R1166" s="134"/>
      <c r="S1166" s="134"/>
    </row>
    <row r="1167" spans="1:19" s="75" customFormat="1" ht="14.6">
      <c r="A1167" s="90"/>
      <c r="B1167" s="90"/>
      <c r="C1167" s="89"/>
      <c r="D1167" s="91"/>
      <c r="E1167" s="77"/>
      <c r="M1167" s="133"/>
      <c r="N1167" s="135"/>
      <c r="O1167" s="133"/>
      <c r="P1167" s="136"/>
      <c r="Q1167" s="134"/>
      <c r="R1167" s="134"/>
      <c r="S1167" s="134"/>
    </row>
    <row r="1168" spans="1:19" s="75" customFormat="1" ht="14.6">
      <c r="A1168" s="90"/>
      <c r="B1168" s="90"/>
      <c r="C1168" s="89"/>
      <c r="D1168" s="91"/>
      <c r="E1168" s="77"/>
      <c r="M1168" s="133"/>
      <c r="N1168" s="135"/>
      <c r="O1168" s="133"/>
      <c r="P1168" s="136"/>
      <c r="Q1168" s="134"/>
      <c r="R1168" s="134"/>
      <c r="S1168" s="134"/>
    </row>
    <row r="1169" spans="1:19" s="75" customFormat="1" ht="14.6">
      <c r="A1169" s="90"/>
      <c r="B1169" s="90"/>
      <c r="C1169" s="89"/>
      <c r="D1169" s="91"/>
      <c r="E1169" s="77"/>
      <c r="M1169" s="133"/>
      <c r="N1169" s="135"/>
      <c r="O1169" s="133"/>
      <c r="P1169" s="136"/>
      <c r="Q1169" s="134"/>
      <c r="R1169" s="134"/>
      <c r="S1169" s="134"/>
    </row>
    <row r="1170" spans="1:19" s="75" customFormat="1" ht="14.6">
      <c r="A1170" s="90"/>
      <c r="B1170" s="90"/>
      <c r="C1170" s="89"/>
      <c r="D1170" s="91"/>
      <c r="E1170" s="77"/>
      <c r="M1170" s="133"/>
      <c r="N1170" s="135"/>
      <c r="O1170" s="133"/>
      <c r="P1170" s="136"/>
      <c r="Q1170" s="134"/>
      <c r="R1170" s="134"/>
      <c r="S1170" s="134"/>
    </row>
    <row r="1171" spans="1:19" s="75" customFormat="1" ht="14.6">
      <c r="A1171" s="90"/>
      <c r="B1171" s="90"/>
      <c r="C1171" s="89"/>
      <c r="D1171" s="91"/>
      <c r="E1171" s="77"/>
      <c r="M1171" s="133"/>
      <c r="N1171" s="135"/>
      <c r="O1171" s="133"/>
      <c r="P1171" s="136"/>
      <c r="Q1171" s="134"/>
      <c r="R1171" s="134"/>
      <c r="S1171" s="134"/>
    </row>
    <row r="1172" spans="1:19" s="75" customFormat="1" ht="14.6">
      <c r="A1172" s="90"/>
      <c r="B1172" s="90"/>
      <c r="C1172" s="89"/>
      <c r="D1172" s="91"/>
      <c r="E1172" s="77"/>
      <c r="M1172" s="133"/>
      <c r="N1172" s="135"/>
      <c r="O1172" s="133"/>
      <c r="P1172" s="136"/>
      <c r="Q1172" s="134"/>
      <c r="R1172" s="134"/>
      <c r="S1172" s="134"/>
    </row>
    <row r="1173" spans="1:19" s="75" customFormat="1" ht="14.6">
      <c r="A1173" s="90"/>
      <c r="B1173" s="90"/>
      <c r="C1173" s="89"/>
      <c r="D1173" s="91"/>
      <c r="E1173" s="77"/>
      <c r="M1173" s="133"/>
      <c r="N1173" s="135"/>
      <c r="O1173" s="133"/>
      <c r="P1173" s="136"/>
      <c r="Q1173" s="134"/>
      <c r="R1173" s="134"/>
      <c r="S1173" s="134"/>
    </row>
    <row r="1174" spans="1:19" s="75" customFormat="1" ht="14.6">
      <c r="A1174" s="90"/>
      <c r="B1174" s="90"/>
      <c r="C1174" s="89"/>
      <c r="D1174" s="91"/>
      <c r="E1174" s="77"/>
      <c r="M1174" s="133"/>
      <c r="N1174" s="135"/>
      <c r="O1174" s="133"/>
      <c r="P1174" s="136"/>
      <c r="Q1174" s="134"/>
      <c r="R1174" s="134"/>
      <c r="S1174" s="134"/>
    </row>
    <row r="1175" spans="1:19" s="75" customFormat="1" ht="14.6">
      <c r="A1175" s="90"/>
      <c r="B1175" s="90"/>
      <c r="C1175" s="89"/>
      <c r="D1175" s="91"/>
      <c r="E1175" s="77"/>
      <c r="M1175" s="133"/>
      <c r="N1175" s="135"/>
      <c r="O1175" s="133"/>
      <c r="P1175" s="136"/>
      <c r="Q1175" s="134"/>
      <c r="R1175" s="134"/>
      <c r="S1175" s="134"/>
    </row>
    <row r="1176" spans="1:19" s="75" customFormat="1" ht="14.6">
      <c r="A1176" s="90"/>
      <c r="B1176" s="90"/>
      <c r="C1176" s="89"/>
      <c r="D1176" s="91"/>
      <c r="E1176" s="77"/>
      <c r="M1176" s="133"/>
      <c r="N1176" s="135"/>
      <c r="O1176" s="133"/>
      <c r="P1176" s="136"/>
      <c r="Q1176" s="134"/>
      <c r="R1176" s="134"/>
      <c r="S1176" s="134"/>
    </row>
    <row r="1177" spans="1:19" s="75" customFormat="1" ht="14.6">
      <c r="A1177" s="90"/>
      <c r="B1177" s="90"/>
      <c r="C1177" s="89"/>
      <c r="D1177" s="91"/>
      <c r="E1177" s="77"/>
      <c r="M1177" s="133"/>
      <c r="N1177" s="135"/>
      <c r="O1177" s="133"/>
      <c r="P1177" s="136"/>
      <c r="Q1177" s="134"/>
      <c r="R1177" s="134"/>
      <c r="S1177" s="134"/>
    </row>
    <row r="1178" spans="1:19" s="75" customFormat="1" ht="14.6">
      <c r="A1178" s="90"/>
      <c r="B1178" s="90"/>
      <c r="C1178" s="89"/>
      <c r="D1178" s="91"/>
      <c r="E1178" s="77"/>
      <c r="M1178" s="133"/>
      <c r="N1178" s="135"/>
      <c r="O1178" s="133"/>
      <c r="P1178" s="136"/>
      <c r="Q1178" s="134"/>
      <c r="R1178" s="134"/>
      <c r="S1178" s="134"/>
    </row>
    <row r="1179" spans="1:19" s="75" customFormat="1" ht="14.6">
      <c r="A1179" s="90"/>
      <c r="B1179" s="90"/>
      <c r="C1179" s="89"/>
      <c r="D1179" s="91"/>
      <c r="E1179" s="77"/>
      <c r="M1179" s="133"/>
      <c r="N1179" s="135"/>
      <c r="O1179" s="133"/>
      <c r="P1179" s="136"/>
      <c r="Q1179" s="134"/>
      <c r="R1179" s="134"/>
      <c r="S1179" s="134"/>
    </row>
    <row r="1180" spans="1:19" s="75" customFormat="1" ht="14.6">
      <c r="A1180" s="90"/>
      <c r="B1180" s="90"/>
      <c r="C1180" s="89"/>
      <c r="D1180" s="91"/>
      <c r="E1180" s="77"/>
      <c r="M1180" s="133"/>
      <c r="N1180" s="135"/>
      <c r="O1180" s="133"/>
      <c r="P1180" s="136"/>
      <c r="Q1180" s="134"/>
      <c r="R1180" s="134"/>
      <c r="S1180" s="134"/>
    </row>
    <row r="1181" spans="1:19" s="75" customFormat="1" ht="14.6">
      <c r="A1181" s="90"/>
      <c r="B1181" s="90"/>
      <c r="C1181" s="89"/>
      <c r="D1181" s="91"/>
      <c r="E1181" s="77"/>
      <c r="M1181" s="133"/>
      <c r="N1181" s="135"/>
      <c r="O1181" s="133"/>
      <c r="P1181" s="136"/>
      <c r="Q1181" s="134"/>
      <c r="R1181" s="134"/>
      <c r="S1181" s="134"/>
    </row>
    <row r="1182" spans="1:19" s="75" customFormat="1" ht="14.6">
      <c r="A1182" s="90"/>
      <c r="B1182" s="90"/>
      <c r="C1182" s="89"/>
      <c r="D1182" s="91"/>
      <c r="E1182" s="77"/>
      <c r="M1182" s="133"/>
      <c r="N1182" s="135"/>
      <c r="O1182" s="133"/>
      <c r="P1182" s="136"/>
      <c r="Q1182" s="134"/>
      <c r="R1182" s="134"/>
      <c r="S1182" s="134"/>
    </row>
    <row r="1183" spans="1:19" s="75" customFormat="1" ht="14.6">
      <c r="A1183" s="90"/>
      <c r="B1183" s="90"/>
      <c r="C1183" s="89"/>
      <c r="D1183" s="91"/>
      <c r="E1183" s="77"/>
      <c r="M1183" s="133"/>
      <c r="N1183" s="135"/>
      <c r="O1183" s="133"/>
      <c r="P1183" s="136"/>
      <c r="Q1183" s="134"/>
      <c r="R1183" s="134"/>
      <c r="S1183" s="134"/>
    </row>
    <row r="1184" spans="1:19" s="75" customFormat="1" ht="14.6">
      <c r="A1184" s="90"/>
      <c r="B1184" s="90"/>
      <c r="C1184" s="89"/>
      <c r="D1184" s="91"/>
      <c r="E1184" s="77"/>
      <c r="M1184" s="133"/>
      <c r="N1184" s="135"/>
      <c r="O1184" s="133"/>
      <c r="P1184" s="136"/>
      <c r="Q1184" s="134"/>
      <c r="R1184" s="134"/>
      <c r="S1184" s="134"/>
    </row>
    <row r="1185" spans="1:19" s="75" customFormat="1" ht="14.6">
      <c r="A1185" s="90"/>
      <c r="B1185" s="90"/>
      <c r="C1185" s="89"/>
      <c r="D1185" s="91"/>
      <c r="E1185" s="77"/>
      <c r="M1185" s="133"/>
      <c r="N1185" s="135"/>
      <c r="O1185" s="133"/>
      <c r="P1185" s="136"/>
      <c r="Q1185" s="134"/>
      <c r="R1185" s="134"/>
      <c r="S1185" s="134"/>
    </row>
    <row r="1186" spans="1:19" s="75" customFormat="1" ht="14.6">
      <c r="A1186" s="90"/>
      <c r="B1186" s="90"/>
      <c r="C1186" s="89"/>
      <c r="D1186" s="91"/>
      <c r="E1186" s="77"/>
      <c r="M1186" s="133"/>
      <c r="N1186" s="135"/>
      <c r="O1186" s="133"/>
      <c r="P1186" s="136"/>
      <c r="Q1186" s="134"/>
      <c r="R1186" s="134"/>
      <c r="S1186" s="134"/>
    </row>
    <row r="1187" spans="1:19" s="75" customFormat="1" ht="14.6">
      <c r="A1187" s="90"/>
      <c r="B1187" s="90"/>
      <c r="C1187" s="89"/>
      <c r="D1187" s="91"/>
      <c r="E1187" s="77"/>
      <c r="M1187" s="133"/>
      <c r="N1187" s="135"/>
      <c r="O1187" s="133"/>
      <c r="P1187" s="136"/>
      <c r="Q1187" s="134"/>
      <c r="R1187" s="134"/>
      <c r="S1187" s="134"/>
    </row>
    <row r="1188" spans="1:19" s="75" customFormat="1" ht="14.6">
      <c r="A1188" s="90"/>
      <c r="B1188" s="90"/>
      <c r="C1188" s="89"/>
      <c r="D1188" s="91"/>
      <c r="E1188" s="77"/>
      <c r="M1188" s="133"/>
      <c r="N1188" s="135"/>
      <c r="O1188" s="133"/>
      <c r="P1188" s="136"/>
      <c r="Q1188" s="134"/>
      <c r="R1188" s="134"/>
      <c r="S1188" s="134"/>
    </row>
    <row r="1189" spans="1:19" s="75" customFormat="1" ht="14.6">
      <c r="A1189" s="90"/>
      <c r="B1189" s="90"/>
      <c r="C1189" s="89"/>
      <c r="D1189" s="91"/>
      <c r="E1189" s="77"/>
      <c r="M1189" s="133"/>
      <c r="N1189" s="135"/>
      <c r="O1189" s="133"/>
      <c r="P1189" s="136"/>
      <c r="Q1189" s="134"/>
      <c r="R1189" s="134"/>
      <c r="S1189" s="134"/>
    </row>
    <row r="1190" spans="1:19" s="75" customFormat="1" ht="14.6">
      <c r="A1190" s="90"/>
      <c r="B1190" s="90"/>
      <c r="C1190" s="89"/>
      <c r="D1190" s="91"/>
      <c r="E1190" s="77"/>
      <c r="M1190" s="133"/>
      <c r="N1190" s="135"/>
      <c r="O1190" s="133"/>
      <c r="P1190" s="136"/>
      <c r="Q1190" s="134"/>
      <c r="R1190" s="134"/>
      <c r="S1190" s="134"/>
    </row>
    <row r="1191" spans="1:19" s="75" customFormat="1" ht="14.6">
      <c r="A1191" s="90"/>
      <c r="B1191" s="90"/>
      <c r="C1191" s="89"/>
      <c r="D1191" s="91"/>
      <c r="E1191" s="77"/>
      <c r="M1191" s="133"/>
      <c r="N1191" s="135"/>
      <c r="O1191" s="133"/>
      <c r="P1191" s="136"/>
      <c r="Q1191" s="134"/>
      <c r="R1191" s="134"/>
      <c r="S1191" s="134"/>
    </row>
    <row r="1192" spans="1:19" s="75" customFormat="1" ht="14.6">
      <c r="A1192" s="90"/>
      <c r="B1192" s="90"/>
      <c r="C1192" s="89"/>
      <c r="D1192" s="91"/>
      <c r="E1192" s="77"/>
      <c r="M1192" s="133"/>
      <c r="N1192" s="135"/>
      <c r="O1192" s="133"/>
      <c r="P1192" s="136"/>
      <c r="Q1192" s="134"/>
      <c r="R1192" s="134"/>
      <c r="S1192" s="134"/>
    </row>
    <row r="1193" spans="1:19" s="75" customFormat="1" ht="14.6">
      <c r="A1193" s="90"/>
      <c r="B1193" s="90"/>
      <c r="C1193" s="89"/>
      <c r="D1193" s="91"/>
      <c r="E1193" s="77"/>
      <c r="M1193" s="133"/>
      <c r="N1193" s="135"/>
      <c r="O1193" s="133"/>
      <c r="P1193" s="136"/>
      <c r="Q1193" s="134"/>
      <c r="R1193" s="134"/>
      <c r="S1193" s="134"/>
    </row>
    <row r="1194" spans="1:19" s="75" customFormat="1" ht="14.6">
      <c r="A1194" s="90"/>
      <c r="B1194" s="90"/>
      <c r="C1194" s="89"/>
      <c r="D1194" s="91"/>
      <c r="E1194" s="77"/>
      <c r="M1194" s="133"/>
      <c r="N1194" s="135"/>
      <c r="O1194" s="133"/>
      <c r="P1194" s="136"/>
      <c r="Q1194" s="134"/>
      <c r="R1194" s="134"/>
      <c r="S1194" s="134"/>
    </row>
    <row r="1195" spans="1:19" s="75" customFormat="1" ht="14.6">
      <c r="A1195" s="90"/>
      <c r="B1195" s="90"/>
      <c r="C1195" s="89"/>
      <c r="D1195" s="91"/>
      <c r="E1195" s="77"/>
      <c r="M1195" s="133"/>
      <c r="N1195" s="135"/>
      <c r="O1195" s="133"/>
      <c r="P1195" s="136"/>
      <c r="Q1195" s="134"/>
      <c r="R1195" s="134"/>
      <c r="S1195" s="134"/>
    </row>
    <row r="1196" spans="1:19" s="75" customFormat="1" ht="14.6">
      <c r="A1196" s="90"/>
      <c r="B1196" s="90"/>
      <c r="C1196" s="89"/>
      <c r="D1196" s="91"/>
      <c r="E1196" s="77"/>
      <c r="M1196" s="133"/>
      <c r="N1196" s="135"/>
      <c r="O1196" s="133"/>
      <c r="P1196" s="136"/>
      <c r="Q1196" s="134"/>
      <c r="R1196" s="134"/>
      <c r="S1196" s="134"/>
    </row>
    <row r="1197" spans="1:19" s="75" customFormat="1" ht="14.6">
      <c r="A1197" s="90"/>
      <c r="B1197" s="90"/>
      <c r="C1197" s="89"/>
      <c r="D1197" s="91"/>
      <c r="E1197" s="77"/>
      <c r="M1197" s="133"/>
      <c r="N1197" s="135"/>
      <c r="O1197" s="133"/>
      <c r="P1197" s="136"/>
      <c r="Q1197" s="134"/>
      <c r="R1197" s="134"/>
      <c r="S1197" s="134"/>
    </row>
    <row r="1198" spans="1:19" s="75" customFormat="1" ht="14.6">
      <c r="A1198" s="90"/>
      <c r="B1198" s="90"/>
      <c r="C1198" s="89"/>
      <c r="D1198" s="91"/>
      <c r="E1198" s="77"/>
      <c r="M1198" s="133"/>
      <c r="N1198" s="135"/>
      <c r="O1198" s="133"/>
      <c r="P1198" s="136"/>
      <c r="Q1198" s="134"/>
      <c r="R1198" s="134"/>
      <c r="S1198" s="134"/>
    </row>
    <row r="1199" spans="1:19" s="75" customFormat="1" ht="14.6">
      <c r="A1199" s="90"/>
      <c r="B1199" s="90"/>
      <c r="C1199" s="89"/>
      <c r="D1199" s="91"/>
      <c r="E1199" s="77"/>
      <c r="M1199" s="133"/>
      <c r="N1199" s="135"/>
      <c r="O1199" s="133"/>
      <c r="P1199" s="136"/>
      <c r="Q1199" s="134"/>
      <c r="R1199" s="134"/>
      <c r="S1199" s="134"/>
    </row>
    <row r="1200" spans="1:19" s="75" customFormat="1" ht="14.6">
      <c r="A1200" s="90"/>
      <c r="B1200" s="90"/>
      <c r="C1200" s="89"/>
      <c r="D1200" s="91"/>
      <c r="E1200" s="77"/>
      <c r="M1200" s="133"/>
      <c r="N1200" s="135"/>
      <c r="O1200" s="133"/>
      <c r="P1200" s="136"/>
      <c r="Q1200" s="134"/>
      <c r="R1200" s="134"/>
      <c r="S1200" s="134"/>
    </row>
    <row r="1201" spans="1:19" s="75" customFormat="1" ht="14.6">
      <c r="A1201" s="90"/>
      <c r="B1201" s="90"/>
      <c r="C1201" s="89"/>
      <c r="D1201" s="91"/>
      <c r="E1201" s="77"/>
      <c r="M1201" s="133"/>
      <c r="N1201" s="135"/>
      <c r="O1201" s="133"/>
      <c r="P1201" s="136"/>
      <c r="Q1201" s="134"/>
      <c r="R1201" s="134"/>
      <c r="S1201" s="134"/>
    </row>
    <row r="1202" spans="1:19" s="75" customFormat="1" ht="14.6">
      <c r="A1202" s="90"/>
      <c r="B1202" s="90"/>
      <c r="C1202" s="89"/>
      <c r="D1202" s="91"/>
      <c r="E1202" s="77"/>
      <c r="M1202" s="133"/>
      <c r="N1202" s="135"/>
      <c r="O1202" s="133"/>
      <c r="P1202" s="136"/>
      <c r="Q1202" s="134"/>
      <c r="R1202" s="134"/>
      <c r="S1202" s="134"/>
    </row>
    <row r="1203" spans="1:19" s="75" customFormat="1" ht="14.6">
      <c r="A1203" s="90"/>
      <c r="B1203" s="90"/>
      <c r="C1203" s="89"/>
      <c r="D1203" s="91"/>
      <c r="E1203" s="77"/>
      <c r="M1203" s="133"/>
      <c r="N1203" s="135"/>
      <c r="O1203" s="133"/>
      <c r="P1203" s="136"/>
      <c r="Q1203" s="134"/>
      <c r="R1203" s="134"/>
      <c r="S1203" s="134"/>
    </row>
    <row r="1204" spans="1:19" s="75" customFormat="1" ht="14.6">
      <c r="A1204" s="90"/>
      <c r="B1204" s="90"/>
      <c r="C1204" s="89"/>
      <c r="D1204" s="91"/>
      <c r="E1204" s="77"/>
      <c r="M1204" s="133"/>
      <c r="N1204" s="135"/>
      <c r="O1204" s="133"/>
      <c r="P1204" s="136"/>
      <c r="Q1204" s="134"/>
      <c r="R1204" s="134"/>
      <c r="S1204" s="134"/>
    </row>
    <row r="1205" spans="1:19" s="75" customFormat="1" ht="14.6">
      <c r="A1205" s="90"/>
      <c r="B1205" s="90"/>
      <c r="C1205" s="89"/>
      <c r="D1205" s="91"/>
      <c r="E1205" s="77"/>
      <c r="M1205" s="133"/>
      <c r="N1205" s="135"/>
      <c r="O1205" s="133"/>
      <c r="P1205" s="136"/>
      <c r="Q1205" s="134"/>
      <c r="R1205" s="134"/>
      <c r="S1205" s="134"/>
    </row>
    <row r="1206" spans="1:19" s="75" customFormat="1" ht="14.6">
      <c r="A1206" s="90"/>
      <c r="B1206" s="90"/>
      <c r="C1206" s="89"/>
      <c r="D1206" s="91"/>
      <c r="E1206" s="77"/>
      <c r="M1206" s="133"/>
      <c r="N1206" s="135"/>
      <c r="O1206" s="133"/>
      <c r="P1206" s="136"/>
      <c r="Q1206" s="134"/>
      <c r="R1206" s="134"/>
      <c r="S1206" s="134"/>
    </row>
    <row r="1207" spans="1:19" s="75" customFormat="1" ht="14.6">
      <c r="A1207" s="90"/>
      <c r="B1207" s="90"/>
      <c r="C1207" s="89"/>
      <c r="D1207" s="91"/>
      <c r="E1207" s="77"/>
      <c r="M1207" s="133"/>
      <c r="N1207" s="135"/>
      <c r="O1207" s="133"/>
      <c r="P1207" s="136"/>
      <c r="Q1207" s="134"/>
      <c r="R1207" s="134"/>
      <c r="S1207" s="134"/>
    </row>
    <row r="1208" spans="1:19" s="75" customFormat="1" ht="14.6">
      <c r="A1208" s="90"/>
      <c r="B1208" s="90"/>
      <c r="C1208" s="89"/>
      <c r="D1208" s="91"/>
      <c r="E1208" s="77"/>
      <c r="M1208" s="133"/>
      <c r="N1208" s="135"/>
      <c r="O1208" s="133"/>
      <c r="P1208" s="136"/>
      <c r="Q1208" s="134"/>
      <c r="R1208" s="134"/>
      <c r="S1208" s="134"/>
    </row>
    <row r="1209" spans="1:19" s="75" customFormat="1" ht="14.6">
      <c r="A1209" s="90"/>
      <c r="B1209" s="90"/>
      <c r="C1209" s="89"/>
      <c r="D1209" s="91"/>
      <c r="E1209" s="77"/>
      <c r="M1209" s="133"/>
      <c r="N1209" s="135"/>
      <c r="O1209" s="133"/>
      <c r="P1209" s="136"/>
      <c r="Q1209" s="134"/>
      <c r="R1209" s="134"/>
      <c r="S1209" s="134"/>
    </row>
    <row r="1210" spans="1:19" s="75" customFormat="1" ht="14.6">
      <c r="A1210" s="90"/>
      <c r="B1210" s="90"/>
      <c r="C1210" s="89"/>
      <c r="D1210" s="91"/>
      <c r="E1210" s="77"/>
      <c r="M1210" s="133"/>
      <c r="N1210" s="135"/>
      <c r="O1210" s="133"/>
      <c r="P1210" s="136"/>
      <c r="Q1210" s="134"/>
      <c r="R1210" s="134"/>
      <c r="S1210" s="134"/>
    </row>
    <row r="1211" spans="1:19" s="75" customFormat="1" ht="14.6">
      <c r="A1211" s="90"/>
      <c r="B1211" s="90"/>
      <c r="C1211" s="89"/>
      <c r="D1211" s="91"/>
      <c r="E1211" s="77"/>
      <c r="M1211" s="133"/>
      <c r="N1211" s="135"/>
      <c r="O1211" s="133"/>
      <c r="P1211" s="136"/>
      <c r="Q1211" s="134"/>
      <c r="R1211" s="134"/>
      <c r="S1211" s="134"/>
    </row>
    <row r="1212" spans="1:19" s="75" customFormat="1" ht="14.6">
      <c r="A1212" s="90"/>
      <c r="B1212" s="90"/>
      <c r="C1212" s="89"/>
      <c r="D1212" s="91"/>
      <c r="E1212" s="77"/>
      <c r="M1212" s="133"/>
      <c r="N1212" s="135"/>
      <c r="O1212" s="133"/>
      <c r="P1212" s="136"/>
      <c r="Q1212" s="134"/>
      <c r="R1212" s="134"/>
      <c r="S1212" s="134"/>
    </row>
    <row r="1213" spans="1:19" s="75" customFormat="1" ht="14.6">
      <c r="A1213" s="90"/>
      <c r="B1213" s="90"/>
      <c r="C1213" s="89"/>
      <c r="D1213" s="91"/>
      <c r="E1213" s="77"/>
      <c r="M1213" s="133"/>
      <c r="N1213" s="135"/>
      <c r="O1213" s="133"/>
      <c r="P1213" s="136"/>
      <c r="Q1213" s="134"/>
      <c r="R1213" s="134"/>
      <c r="S1213" s="134"/>
    </row>
    <row r="1214" spans="1:19" s="75" customFormat="1" ht="14.6">
      <c r="A1214" s="90"/>
      <c r="B1214" s="90"/>
      <c r="C1214" s="89"/>
      <c r="D1214" s="91"/>
      <c r="E1214" s="77"/>
      <c r="M1214" s="133"/>
      <c r="N1214" s="135"/>
      <c r="O1214" s="133"/>
      <c r="P1214" s="136"/>
      <c r="Q1214" s="134"/>
      <c r="R1214" s="134"/>
      <c r="S1214" s="134"/>
    </row>
    <row r="1215" spans="1:19" s="75" customFormat="1" ht="14.6">
      <c r="A1215" s="90"/>
      <c r="B1215" s="90"/>
      <c r="C1215" s="89"/>
      <c r="D1215" s="91"/>
      <c r="E1215" s="77"/>
      <c r="M1215" s="133"/>
      <c r="N1215" s="135"/>
      <c r="O1215" s="133"/>
      <c r="P1215" s="136"/>
      <c r="Q1215" s="134"/>
      <c r="R1215" s="134"/>
      <c r="S1215" s="134"/>
    </row>
    <row r="1216" spans="1:19" s="75" customFormat="1" ht="14.6">
      <c r="A1216" s="90"/>
      <c r="B1216" s="90"/>
      <c r="C1216" s="89"/>
      <c r="D1216" s="91"/>
      <c r="E1216" s="77"/>
      <c r="M1216" s="133"/>
      <c r="N1216" s="135"/>
      <c r="O1216" s="133"/>
      <c r="P1216" s="136"/>
      <c r="Q1216" s="134"/>
      <c r="R1216" s="134"/>
      <c r="S1216" s="134"/>
    </row>
    <row r="1217" spans="1:19" s="75" customFormat="1" ht="14.6">
      <c r="A1217" s="90"/>
      <c r="B1217" s="90"/>
      <c r="C1217" s="89"/>
      <c r="D1217" s="91"/>
      <c r="E1217" s="77"/>
      <c r="M1217" s="133"/>
      <c r="N1217" s="135"/>
      <c r="O1217" s="133"/>
      <c r="P1217" s="136"/>
      <c r="Q1217" s="134"/>
      <c r="R1217" s="134"/>
      <c r="S1217" s="134"/>
    </row>
    <row r="1218" spans="1:19" s="75" customFormat="1" ht="14.6">
      <c r="A1218" s="90"/>
      <c r="B1218" s="90"/>
      <c r="C1218" s="89"/>
      <c r="D1218" s="91"/>
      <c r="E1218" s="77"/>
      <c r="M1218" s="133"/>
      <c r="N1218" s="135"/>
      <c r="O1218" s="133"/>
      <c r="P1218" s="136"/>
      <c r="Q1218" s="134"/>
      <c r="R1218" s="134"/>
      <c r="S1218" s="134"/>
    </row>
    <row r="1219" spans="1:19" s="75" customFormat="1" ht="14.6">
      <c r="A1219" s="90"/>
      <c r="B1219" s="90"/>
      <c r="C1219" s="89"/>
      <c r="D1219" s="91"/>
      <c r="E1219" s="77"/>
      <c r="M1219" s="133"/>
      <c r="N1219" s="135"/>
      <c r="O1219" s="133"/>
      <c r="P1219" s="136"/>
      <c r="Q1219" s="134"/>
      <c r="R1219" s="134"/>
      <c r="S1219" s="134"/>
    </row>
    <row r="1220" spans="1:19" s="75" customFormat="1" ht="14.6">
      <c r="A1220" s="90"/>
      <c r="B1220" s="90"/>
      <c r="C1220" s="89"/>
      <c r="D1220" s="91"/>
      <c r="E1220" s="77"/>
      <c r="M1220" s="133"/>
      <c r="N1220" s="135"/>
      <c r="O1220" s="133"/>
      <c r="P1220" s="136"/>
      <c r="Q1220" s="134"/>
      <c r="R1220" s="134"/>
      <c r="S1220" s="134"/>
    </row>
    <row r="1221" spans="1:19" s="75" customFormat="1" ht="14.6">
      <c r="A1221" s="90"/>
      <c r="B1221" s="90"/>
      <c r="C1221" s="89"/>
      <c r="D1221" s="91"/>
      <c r="E1221" s="77"/>
      <c r="M1221" s="133"/>
      <c r="N1221" s="135"/>
      <c r="O1221" s="133"/>
      <c r="P1221" s="136"/>
      <c r="Q1221" s="134"/>
      <c r="R1221" s="134"/>
      <c r="S1221" s="134"/>
    </row>
    <row r="1222" spans="1:19" s="75" customFormat="1" ht="14.6">
      <c r="A1222" s="90"/>
      <c r="B1222" s="90"/>
      <c r="C1222" s="89"/>
      <c r="D1222" s="91"/>
      <c r="E1222" s="77"/>
      <c r="M1222" s="133"/>
      <c r="N1222" s="135"/>
      <c r="O1222" s="133"/>
      <c r="P1222" s="136"/>
      <c r="Q1222" s="134"/>
      <c r="R1222" s="134"/>
      <c r="S1222" s="134"/>
    </row>
    <row r="1223" spans="1:19" s="75" customFormat="1" ht="14.6">
      <c r="A1223" s="90"/>
      <c r="B1223" s="90"/>
      <c r="C1223" s="89"/>
      <c r="D1223" s="91"/>
      <c r="E1223" s="77"/>
      <c r="M1223" s="133"/>
      <c r="N1223" s="135"/>
      <c r="O1223" s="133"/>
      <c r="P1223" s="136"/>
      <c r="Q1223" s="134"/>
      <c r="R1223" s="134"/>
      <c r="S1223" s="134"/>
    </row>
    <row r="1224" spans="1:19" s="75" customFormat="1" ht="14.6">
      <c r="A1224" s="90"/>
      <c r="B1224" s="90"/>
      <c r="C1224" s="89"/>
      <c r="D1224" s="91"/>
      <c r="E1224" s="77"/>
      <c r="M1224" s="133"/>
      <c r="N1224" s="135"/>
      <c r="O1224" s="133"/>
      <c r="P1224" s="136"/>
      <c r="Q1224" s="134"/>
      <c r="R1224" s="134"/>
      <c r="S1224" s="134"/>
    </row>
    <row r="1225" spans="1:19" s="75" customFormat="1" ht="14.6">
      <c r="A1225" s="90"/>
      <c r="B1225" s="90"/>
      <c r="C1225" s="89"/>
      <c r="D1225" s="91"/>
      <c r="E1225" s="77"/>
      <c r="M1225" s="133"/>
      <c r="N1225" s="135"/>
      <c r="O1225" s="133"/>
      <c r="P1225" s="136"/>
      <c r="Q1225" s="134"/>
      <c r="R1225" s="134"/>
      <c r="S1225" s="134"/>
    </row>
    <row r="1226" spans="1:19" s="75" customFormat="1" ht="14.6">
      <c r="A1226" s="90"/>
      <c r="B1226" s="90"/>
      <c r="C1226" s="89"/>
      <c r="D1226" s="91"/>
      <c r="E1226" s="77"/>
      <c r="M1226" s="133"/>
      <c r="N1226" s="135"/>
      <c r="O1226" s="133"/>
      <c r="P1226" s="136"/>
      <c r="Q1226" s="134"/>
      <c r="R1226" s="134"/>
      <c r="S1226" s="134"/>
    </row>
    <row r="1227" spans="1:19" s="75" customFormat="1" ht="14.6">
      <c r="A1227" s="90"/>
      <c r="B1227" s="90"/>
      <c r="C1227" s="89"/>
      <c r="D1227" s="91"/>
      <c r="E1227" s="77"/>
      <c r="M1227" s="133"/>
      <c r="N1227" s="135"/>
      <c r="O1227" s="133"/>
      <c r="P1227" s="136"/>
      <c r="Q1227" s="134"/>
      <c r="R1227" s="134"/>
      <c r="S1227" s="134"/>
    </row>
    <row r="1228" spans="1:19" s="75" customFormat="1" ht="14.6">
      <c r="A1228" s="90"/>
      <c r="B1228" s="90"/>
      <c r="C1228" s="89"/>
      <c r="D1228" s="91"/>
      <c r="E1228" s="77"/>
      <c r="M1228" s="133"/>
      <c r="N1228" s="135"/>
      <c r="O1228" s="133"/>
      <c r="P1228" s="136"/>
      <c r="Q1228" s="134"/>
      <c r="R1228" s="134"/>
      <c r="S1228" s="134"/>
    </row>
    <row r="1229" spans="1:19" s="75" customFormat="1" ht="14.6">
      <c r="A1229" s="90"/>
      <c r="B1229" s="90"/>
      <c r="C1229" s="89"/>
      <c r="D1229" s="91"/>
      <c r="E1229" s="77"/>
      <c r="M1229" s="133"/>
      <c r="N1229" s="135"/>
      <c r="O1229" s="133"/>
      <c r="P1229" s="136"/>
      <c r="Q1229" s="134"/>
      <c r="R1229" s="134"/>
      <c r="S1229" s="134"/>
    </row>
    <row r="1230" spans="1:19" s="75" customFormat="1" ht="14.6">
      <c r="A1230" s="90"/>
      <c r="B1230" s="90"/>
      <c r="C1230" s="89"/>
      <c r="D1230" s="91"/>
      <c r="E1230" s="77"/>
      <c r="M1230" s="133"/>
      <c r="N1230" s="135"/>
      <c r="O1230" s="133"/>
      <c r="P1230" s="136"/>
      <c r="Q1230" s="134"/>
      <c r="R1230" s="134"/>
      <c r="S1230" s="134"/>
    </row>
    <row r="1231" spans="1:19" s="75" customFormat="1" ht="14.6">
      <c r="A1231" s="90"/>
      <c r="B1231" s="90"/>
      <c r="C1231" s="89"/>
      <c r="D1231" s="91"/>
      <c r="E1231" s="77"/>
      <c r="M1231" s="133"/>
      <c r="N1231" s="135"/>
      <c r="O1231" s="133"/>
      <c r="P1231" s="136"/>
      <c r="Q1231" s="134"/>
      <c r="R1231" s="134"/>
      <c r="S1231" s="134"/>
    </row>
    <row r="1232" spans="1:19" s="75" customFormat="1" ht="14.6">
      <c r="A1232" s="90"/>
      <c r="B1232" s="90"/>
      <c r="C1232" s="89"/>
      <c r="D1232" s="91"/>
      <c r="E1232" s="77"/>
      <c r="M1232" s="133"/>
      <c r="N1232" s="135"/>
      <c r="O1232" s="133"/>
      <c r="P1232" s="136"/>
      <c r="Q1232" s="134"/>
      <c r="R1232" s="134"/>
      <c r="S1232" s="134"/>
    </row>
    <row r="1233" spans="1:19" s="75" customFormat="1" ht="14.6">
      <c r="A1233" s="90"/>
      <c r="B1233" s="90"/>
      <c r="C1233" s="89"/>
      <c r="D1233" s="91"/>
      <c r="E1233" s="77"/>
      <c r="M1233" s="133"/>
      <c r="N1233" s="135"/>
      <c r="O1233" s="133"/>
      <c r="P1233" s="136"/>
      <c r="Q1233" s="134"/>
      <c r="R1233" s="134"/>
      <c r="S1233" s="134"/>
    </row>
    <row r="1234" spans="1:19" s="75" customFormat="1" ht="14.6">
      <c r="A1234" s="90"/>
      <c r="B1234" s="90"/>
      <c r="C1234" s="89"/>
      <c r="D1234" s="91"/>
      <c r="E1234" s="77"/>
      <c r="M1234" s="133"/>
      <c r="N1234" s="135"/>
      <c r="O1234" s="133"/>
      <c r="P1234" s="136"/>
      <c r="Q1234" s="134"/>
      <c r="R1234" s="134"/>
      <c r="S1234" s="134"/>
    </row>
    <row r="1235" spans="1:19" s="75" customFormat="1" ht="14.6">
      <c r="A1235" s="90"/>
      <c r="B1235" s="90"/>
      <c r="C1235" s="89"/>
      <c r="D1235" s="91"/>
      <c r="E1235" s="77"/>
      <c r="M1235" s="133"/>
      <c r="N1235" s="135"/>
      <c r="O1235" s="133"/>
      <c r="P1235" s="136"/>
      <c r="Q1235" s="134"/>
      <c r="R1235" s="134"/>
      <c r="S1235" s="134"/>
    </row>
    <row r="1236" spans="1:19" s="75" customFormat="1" ht="14.6">
      <c r="A1236" s="90"/>
      <c r="B1236" s="90"/>
      <c r="C1236" s="89"/>
      <c r="D1236" s="91"/>
      <c r="E1236" s="77"/>
      <c r="M1236" s="133"/>
      <c r="N1236" s="135"/>
      <c r="O1236" s="133"/>
      <c r="P1236" s="136"/>
      <c r="Q1236" s="134"/>
      <c r="R1236" s="134"/>
      <c r="S1236" s="134"/>
    </row>
    <row r="1237" spans="1:19" s="75" customFormat="1" ht="14.6">
      <c r="A1237" s="90"/>
      <c r="B1237" s="90"/>
      <c r="C1237" s="89"/>
      <c r="D1237" s="91"/>
      <c r="E1237" s="77"/>
      <c r="M1237" s="133"/>
      <c r="N1237" s="135"/>
      <c r="O1237" s="133"/>
      <c r="P1237" s="136"/>
      <c r="Q1237" s="134"/>
      <c r="R1237" s="134"/>
      <c r="S1237" s="134"/>
    </row>
    <row r="1238" spans="1:19" s="75" customFormat="1" ht="14.6">
      <c r="A1238" s="90"/>
      <c r="B1238" s="90"/>
      <c r="C1238" s="89"/>
      <c r="D1238" s="91"/>
      <c r="E1238" s="77"/>
      <c r="M1238" s="133"/>
      <c r="N1238" s="135"/>
      <c r="O1238" s="133"/>
      <c r="P1238" s="136"/>
      <c r="Q1238" s="134"/>
      <c r="R1238" s="134"/>
      <c r="S1238" s="134"/>
    </row>
    <row r="1239" spans="1:19" s="75" customFormat="1" ht="14.6">
      <c r="A1239" s="90"/>
      <c r="B1239" s="90"/>
      <c r="C1239" s="89"/>
      <c r="D1239" s="91"/>
      <c r="E1239" s="77"/>
      <c r="M1239" s="133"/>
      <c r="N1239" s="135"/>
      <c r="O1239" s="133"/>
      <c r="P1239" s="136"/>
      <c r="Q1239" s="134"/>
      <c r="R1239" s="134"/>
      <c r="S1239" s="134"/>
    </row>
    <row r="1240" spans="1:19" s="75" customFormat="1" ht="14.6">
      <c r="A1240" s="90"/>
      <c r="B1240" s="90"/>
      <c r="C1240" s="89"/>
      <c r="D1240" s="91"/>
      <c r="E1240" s="77"/>
      <c r="M1240" s="133"/>
      <c r="N1240" s="135"/>
      <c r="O1240" s="133"/>
      <c r="P1240" s="136"/>
      <c r="Q1240" s="134"/>
      <c r="R1240" s="134"/>
      <c r="S1240" s="134"/>
    </row>
    <row r="1241" spans="1:19" s="75" customFormat="1" ht="14.6">
      <c r="A1241" s="90"/>
      <c r="B1241" s="90"/>
      <c r="C1241" s="89"/>
      <c r="D1241" s="91"/>
      <c r="E1241" s="77"/>
      <c r="M1241" s="133"/>
      <c r="N1241" s="135"/>
      <c r="O1241" s="133"/>
      <c r="P1241" s="136"/>
      <c r="Q1241" s="134"/>
      <c r="R1241" s="134"/>
      <c r="S1241" s="134"/>
    </row>
    <row r="1242" spans="1:19" s="75" customFormat="1" ht="14.6">
      <c r="A1242" s="90"/>
      <c r="B1242" s="90"/>
      <c r="C1242" s="89"/>
      <c r="D1242" s="91"/>
      <c r="E1242" s="77"/>
      <c r="M1242" s="133"/>
      <c r="N1242" s="135"/>
      <c r="O1242" s="133"/>
      <c r="P1242" s="136"/>
      <c r="Q1242" s="134"/>
      <c r="R1242" s="134"/>
      <c r="S1242" s="134"/>
    </row>
    <row r="1243" spans="1:19" s="75" customFormat="1" ht="14.6">
      <c r="A1243" s="90"/>
      <c r="B1243" s="90"/>
      <c r="C1243" s="89"/>
      <c r="D1243" s="91"/>
      <c r="E1243" s="77"/>
      <c r="M1243" s="133"/>
      <c r="N1243" s="135"/>
      <c r="O1243" s="133"/>
      <c r="P1243" s="136"/>
      <c r="Q1243" s="134"/>
      <c r="R1243" s="134"/>
      <c r="S1243" s="134"/>
    </row>
    <row r="1244" spans="1:19" s="75" customFormat="1" ht="14.6">
      <c r="A1244" s="90"/>
      <c r="B1244" s="90"/>
      <c r="C1244" s="89"/>
      <c r="D1244" s="91"/>
      <c r="E1244" s="77"/>
      <c r="M1244" s="133"/>
      <c r="N1244" s="135"/>
      <c r="O1244" s="133"/>
      <c r="P1244" s="136"/>
      <c r="Q1244" s="134"/>
      <c r="R1244" s="134"/>
      <c r="S1244" s="134"/>
    </row>
    <row r="1245" spans="1:19" s="75" customFormat="1" ht="14.6">
      <c r="A1245" s="90"/>
      <c r="B1245" s="90"/>
      <c r="C1245" s="89"/>
      <c r="D1245" s="91"/>
      <c r="E1245" s="77"/>
      <c r="M1245" s="133"/>
      <c r="N1245" s="135"/>
      <c r="O1245" s="133"/>
      <c r="P1245" s="136"/>
      <c r="Q1245" s="134"/>
      <c r="R1245" s="134"/>
      <c r="S1245" s="134"/>
    </row>
    <row r="1246" spans="1:19" s="75" customFormat="1" ht="14.6">
      <c r="A1246" s="90"/>
      <c r="B1246" s="90"/>
      <c r="C1246" s="89"/>
      <c r="D1246" s="91"/>
      <c r="E1246" s="77"/>
      <c r="M1246" s="133"/>
      <c r="N1246" s="135"/>
      <c r="O1246" s="133"/>
      <c r="P1246" s="136"/>
      <c r="Q1246" s="134"/>
      <c r="R1246" s="134"/>
      <c r="S1246" s="134"/>
    </row>
    <row r="1247" spans="1:19" s="75" customFormat="1" ht="14.6">
      <c r="A1247" s="90"/>
      <c r="B1247" s="90"/>
      <c r="C1247" s="89"/>
      <c r="D1247" s="91"/>
      <c r="E1247" s="77"/>
      <c r="M1247" s="133"/>
      <c r="N1247" s="135"/>
      <c r="O1247" s="133"/>
      <c r="P1247" s="136"/>
      <c r="Q1247" s="134"/>
      <c r="R1247" s="134"/>
      <c r="S1247" s="134"/>
    </row>
    <row r="1248" spans="1:19" s="75" customFormat="1" ht="14.6">
      <c r="A1248" s="90"/>
      <c r="B1248" s="90"/>
      <c r="C1248" s="89"/>
      <c r="D1248" s="91"/>
      <c r="E1248" s="77"/>
      <c r="M1248" s="133"/>
      <c r="N1248" s="135"/>
      <c r="O1248" s="133"/>
      <c r="P1248" s="136"/>
      <c r="Q1248" s="134"/>
      <c r="R1248" s="134"/>
      <c r="S1248" s="134"/>
    </row>
    <row r="1249" spans="1:19" s="75" customFormat="1" ht="14.6">
      <c r="A1249" s="90"/>
      <c r="B1249" s="90"/>
      <c r="C1249" s="89"/>
      <c r="D1249" s="91"/>
      <c r="E1249" s="77"/>
      <c r="M1249" s="133"/>
      <c r="N1249" s="135"/>
      <c r="O1249" s="133"/>
      <c r="P1249" s="136"/>
      <c r="Q1249" s="134"/>
      <c r="R1249" s="134"/>
      <c r="S1249" s="134"/>
    </row>
    <row r="1250" spans="1:19" s="75" customFormat="1" ht="14.6">
      <c r="A1250" s="90"/>
      <c r="B1250" s="90"/>
      <c r="C1250" s="89"/>
      <c r="D1250" s="91"/>
      <c r="E1250" s="77"/>
      <c r="M1250" s="133"/>
      <c r="N1250" s="135"/>
      <c r="O1250" s="133"/>
      <c r="P1250" s="136"/>
      <c r="Q1250" s="134"/>
      <c r="R1250" s="134"/>
      <c r="S1250" s="134"/>
    </row>
    <row r="1251" spans="1:19" s="75" customFormat="1" ht="14.6">
      <c r="A1251" s="90"/>
      <c r="B1251" s="90"/>
      <c r="C1251" s="89"/>
      <c r="D1251" s="91"/>
      <c r="E1251" s="77"/>
      <c r="M1251" s="133"/>
      <c r="N1251" s="135"/>
      <c r="O1251" s="133"/>
      <c r="P1251" s="136"/>
      <c r="Q1251" s="134"/>
      <c r="R1251" s="134"/>
      <c r="S1251" s="134"/>
    </row>
    <row r="1252" spans="1:19" s="75" customFormat="1" ht="14.6">
      <c r="A1252" s="90"/>
      <c r="B1252" s="90"/>
      <c r="C1252" s="89"/>
      <c r="D1252" s="91"/>
      <c r="E1252" s="77"/>
      <c r="M1252" s="133"/>
      <c r="N1252" s="135"/>
      <c r="O1252" s="133"/>
      <c r="P1252" s="136"/>
      <c r="Q1252" s="134"/>
      <c r="R1252" s="134"/>
      <c r="S1252" s="134"/>
    </row>
    <row r="1253" spans="1:19" s="75" customFormat="1" ht="14.6">
      <c r="A1253" s="90"/>
      <c r="B1253" s="90"/>
      <c r="C1253" s="89"/>
      <c r="D1253" s="91"/>
      <c r="E1253" s="77"/>
      <c r="M1253" s="133"/>
      <c r="N1253" s="135"/>
      <c r="O1253" s="133"/>
      <c r="P1253" s="136"/>
      <c r="Q1253" s="134"/>
      <c r="R1253" s="134"/>
      <c r="S1253" s="134"/>
    </row>
    <row r="1254" spans="1:19" s="75" customFormat="1" ht="14.6">
      <c r="A1254" s="90"/>
      <c r="B1254" s="90"/>
      <c r="C1254" s="89"/>
      <c r="D1254" s="91"/>
      <c r="E1254" s="77"/>
      <c r="M1254" s="133"/>
      <c r="N1254" s="135"/>
      <c r="O1254" s="133"/>
      <c r="P1254" s="136"/>
      <c r="Q1254" s="134"/>
      <c r="R1254" s="134"/>
      <c r="S1254" s="134"/>
    </row>
    <row r="1255" spans="1:19" s="75" customFormat="1" ht="14.6">
      <c r="A1255" s="90"/>
      <c r="B1255" s="90"/>
      <c r="C1255" s="89"/>
      <c r="D1255" s="91"/>
      <c r="E1255" s="77"/>
      <c r="M1255" s="133"/>
      <c r="N1255" s="135"/>
      <c r="O1255" s="133"/>
      <c r="P1255" s="136"/>
      <c r="Q1255" s="134"/>
      <c r="R1255" s="134"/>
      <c r="S1255" s="134"/>
    </row>
    <row r="1256" spans="1:19" s="75" customFormat="1" ht="14.6">
      <c r="A1256" s="90"/>
      <c r="B1256" s="90"/>
      <c r="C1256" s="89"/>
      <c r="D1256" s="91"/>
      <c r="E1256" s="77"/>
      <c r="M1256" s="133"/>
      <c r="N1256" s="135"/>
      <c r="O1256" s="133"/>
      <c r="P1256" s="136"/>
      <c r="Q1256" s="134"/>
      <c r="R1256" s="134"/>
      <c r="S1256" s="134"/>
    </row>
    <row r="1257" spans="1:19" s="75" customFormat="1" ht="14.6">
      <c r="A1257" s="90"/>
      <c r="B1257" s="90"/>
      <c r="C1257" s="89"/>
      <c r="D1257" s="91"/>
      <c r="E1257" s="77"/>
      <c r="M1257" s="133"/>
      <c r="N1257" s="135"/>
      <c r="O1257" s="133"/>
      <c r="P1257" s="136"/>
      <c r="Q1257" s="134"/>
      <c r="R1257" s="134"/>
      <c r="S1257" s="134"/>
    </row>
    <row r="1258" spans="1:19" s="75" customFormat="1" ht="14.6">
      <c r="A1258" s="90"/>
      <c r="B1258" s="90"/>
      <c r="C1258" s="89"/>
      <c r="D1258" s="91"/>
      <c r="E1258" s="77"/>
      <c r="M1258" s="133"/>
      <c r="N1258" s="135"/>
      <c r="O1258" s="133"/>
      <c r="P1258" s="136"/>
      <c r="Q1258" s="134"/>
      <c r="R1258" s="134"/>
      <c r="S1258" s="134"/>
    </row>
    <row r="1259" spans="1:19" s="75" customFormat="1" ht="14.6">
      <c r="A1259" s="90"/>
      <c r="B1259" s="90"/>
      <c r="C1259" s="89"/>
      <c r="D1259" s="91"/>
      <c r="E1259" s="77"/>
      <c r="M1259" s="133"/>
      <c r="N1259" s="135"/>
      <c r="O1259" s="133"/>
      <c r="P1259" s="136"/>
      <c r="Q1259" s="134"/>
      <c r="R1259" s="134"/>
      <c r="S1259" s="134"/>
    </row>
    <row r="1260" spans="1:19" s="75" customFormat="1" ht="14.6">
      <c r="A1260" s="90"/>
      <c r="B1260" s="90"/>
      <c r="C1260" s="89"/>
      <c r="D1260" s="91"/>
      <c r="E1260" s="77"/>
      <c r="M1260" s="133"/>
      <c r="N1260" s="135"/>
      <c r="O1260" s="133"/>
      <c r="P1260" s="136"/>
      <c r="Q1260" s="134"/>
      <c r="R1260" s="134"/>
      <c r="S1260" s="134"/>
    </row>
    <row r="1261" spans="1:19" s="75" customFormat="1" ht="14.6">
      <c r="A1261" s="90"/>
      <c r="B1261" s="90"/>
      <c r="C1261" s="89"/>
      <c r="D1261" s="91"/>
      <c r="E1261" s="77"/>
      <c r="M1261" s="133"/>
      <c r="N1261" s="135"/>
      <c r="O1261" s="133"/>
      <c r="P1261" s="136"/>
      <c r="Q1261" s="134"/>
      <c r="R1261" s="134"/>
      <c r="S1261" s="134"/>
    </row>
    <row r="1262" spans="1:19" s="75" customFormat="1" ht="14.6">
      <c r="A1262" s="90"/>
      <c r="B1262" s="90"/>
      <c r="C1262" s="89"/>
      <c r="D1262" s="91"/>
      <c r="E1262" s="77"/>
      <c r="M1262" s="133"/>
      <c r="N1262" s="135"/>
      <c r="O1262" s="133"/>
      <c r="P1262" s="136"/>
      <c r="Q1262" s="134"/>
      <c r="R1262" s="134"/>
      <c r="S1262" s="134"/>
    </row>
    <row r="1263" spans="1:19" s="75" customFormat="1" ht="14.6">
      <c r="A1263" s="90"/>
      <c r="B1263" s="90"/>
      <c r="C1263" s="89"/>
      <c r="D1263" s="91"/>
      <c r="E1263" s="77"/>
      <c r="M1263" s="133"/>
      <c r="N1263" s="135"/>
      <c r="O1263" s="133"/>
      <c r="P1263" s="136"/>
      <c r="Q1263" s="134"/>
      <c r="R1263" s="134"/>
      <c r="S1263" s="134"/>
    </row>
    <row r="1264" spans="1:19" s="75" customFormat="1" ht="14.6">
      <c r="A1264" s="90"/>
      <c r="B1264" s="90"/>
      <c r="C1264" s="89"/>
      <c r="D1264" s="91"/>
      <c r="E1264" s="77"/>
      <c r="M1264" s="133"/>
      <c r="N1264" s="135"/>
      <c r="O1264" s="133"/>
      <c r="P1264" s="136"/>
      <c r="Q1264" s="134"/>
      <c r="R1264" s="134"/>
      <c r="S1264" s="134"/>
    </row>
    <row r="1265" spans="1:19" s="75" customFormat="1" ht="14.6">
      <c r="A1265" s="90"/>
      <c r="B1265" s="90"/>
      <c r="C1265" s="89"/>
      <c r="D1265" s="91"/>
      <c r="E1265" s="77"/>
      <c r="M1265" s="133"/>
      <c r="N1265" s="135"/>
      <c r="O1265" s="133"/>
      <c r="P1265" s="136"/>
      <c r="Q1265" s="134"/>
      <c r="R1265" s="134"/>
      <c r="S1265" s="134"/>
    </row>
    <row r="1266" spans="1:19" s="75" customFormat="1" ht="14.6">
      <c r="A1266" s="90"/>
      <c r="B1266" s="90"/>
      <c r="C1266" s="89"/>
      <c r="D1266" s="91"/>
      <c r="E1266" s="77"/>
      <c r="M1266" s="133"/>
      <c r="N1266" s="135"/>
      <c r="O1266" s="133"/>
      <c r="P1266" s="136"/>
      <c r="Q1266" s="134"/>
      <c r="R1266" s="134"/>
      <c r="S1266" s="134"/>
    </row>
    <row r="1267" spans="1:19" s="75" customFormat="1" ht="14.6">
      <c r="A1267" s="90"/>
      <c r="B1267" s="90"/>
      <c r="C1267" s="89"/>
      <c r="D1267" s="91"/>
      <c r="E1267" s="77"/>
      <c r="M1267" s="133"/>
      <c r="N1267" s="135"/>
      <c r="O1267" s="133"/>
      <c r="P1267" s="136"/>
      <c r="Q1267" s="134"/>
      <c r="R1267" s="134"/>
      <c r="S1267" s="134"/>
    </row>
    <row r="1268" spans="1:19" s="75" customFormat="1" ht="14.6">
      <c r="A1268" s="90"/>
      <c r="B1268" s="90"/>
      <c r="C1268" s="89"/>
      <c r="D1268" s="91"/>
      <c r="E1268" s="77"/>
      <c r="M1268" s="133"/>
      <c r="N1268" s="135"/>
      <c r="O1268" s="133"/>
      <c r="P1268" s="136"/>
      <c r="Q1268" s="134"/>
      <c r="R1268" s="134"/>
      <c r="S1268" s="134"/>
    </row>
    <row r="1269" spans="1:19" s="75" customFormat="1" ht="14.6">
      <c r="A1269" s="90"/>
      <c r="B1269" s="90"/>
      <c r="C1269" s="89"/>
      <c r="D1269" s="91"/>
      <c r="E1269" s="77"/>
      <c r="M1269" s="133"/>
      <c r="N1269" s="135"/>
      <c r="O1269" s="133"/>
      <c r="P1269" s="136"/>
      <c r="Q1269" s="134"/>
      <c r="R1269" s="134"/>
      <c r="S1269" s="134"/>
    </row>
    <row r="1270" spans="1:19" s="75" customFormat="1" ht="14.6">
      <c r="A1270" s="90"/>
      <c r="B1270" s="90"/>
      <c r="C1270" s="89"/>
      <c r="D1270" s="91"/>
      <c r="E1270" s="77"/>
      <c r="M1270" s="133"/>
      <c r="N1270" s="135"/>
      <c r="O1270" s="133"/>
      <c r="P1270" s="136"/>
      <c r="Q1270" s="134"/>
      <c r="R1270" s="134"/>
      <c r="S1270" s="134"/>
    </row>
    <row r="1271" spans="1:19" s="75" customFormat="1" ht="14.6">
      <c r="A1271" s="90"/>
      <c r="B1271" s="90"/>
      <c r="C1271" s="89"/>
      <c r="D1271" s="91"/>
      <c r="E1271" s="77"/>
      <c r="M1271" s="133"/>
      <c r="N1271" s="135"/>
      <c r="O1271" s="133"/>
      <c r="P1271" s="136"/>
      <c r="Q1271" s="134"/>
      <c r="R1271" s="134"/>
      <c r="S1271" s="134"/>
    </row>
    <row r="1272" spans="1:19" s="75" customFormat="1" ht="14.6">
      <c r="A1272" s="90"/>
      <c r="B1272" s="90"/>
      <c r="C1272" s="89"/>
      <c r="D1272" s="91"/>
      <c r="E1272" s="77"/>
      <c r="M1272" s="133"/>
      <c r="N1272" s="135"/>
      <c r="O1272" s="133"/>
      <c r="P1272" s="136"/>
      <c r="Q1272" s="134"/>
      <c r="R1272" s="134"/>
      <c r="S1272" s="134"/>
    </row>
    <row r="1273" spans="1:19" s="75" customFormat="1" ht="14.6">
      <c r="A1273" s="90"/>
      <c r="B1273" s="90"/>
      <c r="C1273" s="89"/>
      <c r="D1273" s="91"/>
      <c r="E1273" s="77"/>
      <c r="M1273" s="133"/>
      <c r="N1273" s="135"/>
      <c r="O1273" s="133"/>
      <c r="P1273" s="136"/>
      <c r="Q1273" s="134"/>
      <c r="R1273" s="134"/>
      <c r="S1273" s="134"/>
    </row>
    <row r="1274" spans="1:19" s="75" customFormat="1" ht="14.6">
      <c r="A1274" s="90"/>
      <c r="B1274" s="90"/>
      <c r="C1274" s="89"/>
      <c r="D1274" s="91"/>
      <c r="E1274" s="77"/>
      <c r="M1274" s="133"/>
      <c r="N1274" s="135"/>
      <c r="O1274" s="133"/>
      <c r="P1274" s="136"/>
      <c r="Q1274" s="134"/>
      <c r="R1274" s="134"/>
      <c r="S1274" s="134"/>
    </row>
    <row r="1275" spans="1:19" s="75" customFormat="1" ht="14.6">
      <c r="A1275" s="90"/>
      <c r="B1275" s="90"/>
      <c r="C1275" s="89"/>
      <c r="D1275" s="91"/>
      <c r="E1275" s="77"/>
      <c r="M1275" s="133"/>
      <c r="N1275" s="135"/>
      <c r="O1275" s="133"/>
      <c r="P1275" s="136"/>
      <c r="Q1275" s="134"/>
      <c r="R1275" s="134"/>
      <c r="S1275" s="134"/>
    </row>
    <row r="1276" spans="1:19" s="75" customFormat="1" ht="14.6">
      <c r="A1276" s="90"/>
      <c r="B1276" s="90"/>
      <c r="C1276" s="89"/>
      <c r="D1276" s="91"/>
      <c r="E1276" s="77"/>
      <c r="M1276" s="133"/>
      <c r="N1276" s="135"/>
      <c r="O1276" s="133"/>
      <c r="P1276" s="136"/>
      <c r="Q1276" s="134"/>
      <c r="R1276" s="134"/>
      <c r="S1276" s="134"/>
    </row>
    <row r="1277" spans="1:19" s="75" customFormat="1" ht="14.6">
      <c r="A1277" s="90"/>
      <c r="B1277" s="90"/>
      <c r="C1277" s="89"/>
      <c r="D1277" s="91"/>
      <c r="E1277" s="77"/>
      <c r="M1277" s="133"/>
      <c r="N1277" s="135"/>
      <c r="O1277" s="133"/>
      <c r="P1277" s="136"/>
      <c r="Q1277" s="134"/>
      <c r="R1277" s="134"/>
      <c r="S1277" s="134"/>
    </row>
    <row r="1278" spans="1:19" s="75" customFormat="1" ht="14.6">
      <c r="A1278" s="90"/>
      <c r="B1278" s="90"/>
      <c r="C1278" s="89"/>
      <c r="D1278" s="91"/>
      <c r="E1278" s="77"/>
      <c r="M1278" s="133"/>
      <c r="N1278" s="135"/>
      <c r="O1278" s="133"/>
      <c r="P1278" s="136"/>
      <c r="Q1278" s="134"/>
      <c r="R1278" s="134"/>
      <c r="S1278" s="134"/>
    </row>
    <row r="1279" spans="1:19" s="75" customFormat="1" ht="14.6">
      <c r="A1279" s="90"/>
      <c r="B1279" s="90"/>
      <c r="C1279" s="89"/>
      <c r="D1279" s="91"/>
      <c r="E1279" s="77"/>
      <c r="M1279" s="133"/>
      <c r="N1279" s="135"/>
      <c r="O1279" s="133"/>
      <c r="P1279" s="136"/>
      <c r="Q1279" s="134"/>
      <c r="R1279" s="134"/>
      <c r="S1279" s="134"/>
    </row>
    <row r="1280" spans="1:19" s="75" customFormat="1" ht="14.6">
      <c r="A1280" s="90"/>
      <c r="B1280" s="90"/>
      <c r="C1280" s="89"/>
      <c r="D1280" s="91"/>
      <c r="E1280" s="77"/>
      <c r="M1280" s="133"/>
      <c r="N1280" s="135"/>
      <c r="O1280" s="133"/>
      <c r="P1280" s="136"/>
      <c r="Q1280" s="134"/>
      <c r="R1280" s="134"/>
      <c r="S1280" s="134"/>
    </row>
    <row r="1281" spans="1:19" s="75" customFormat="1" ht="14.6">
      <c r="A1281" s="90"/>
      <c r="B1281" s="90"/>
      <c r="C1281" s="89"/>
      <c r="D1281" s="91"/>
      <c r="E1281" s="77"/>
      <c r="M1281" s="133"/>
      <c r="N1281" s="135"/>
      <c r="O1281" s="133"/>
      <c r="P1281" s="136"/>
      <c r="Q1281" s="134"/>
      <c r="R1281" s="134"/>
      <c r="S1281" s="134"/>
    </row>
    <row r="1282" spans="1:19" s="75" customFormat="1" ht="14.6">
      <c r="A1282" s="90"/>
      <c r="B1282" s="90"/>
      <c r="C1282" s="89"/>
      <c r="D1282" s="91"/>
      <c r="E1282" s="77"/>
      <c r="M1282" s="133"/>
      <c r="N1282" s="135"/>
      <c r="O1282" s="133"/>
      <c r="P1282" s="136"/>
      <c r="Q1282" s="134"/>
      <c r="R1282" s="134"/>
      <c r="S1282" s="134"/>
    </row>
    <row r="1283" spans="1:19" s="75" customFormat="1" ht="14.6">
      <c r="A1283" s="90"/>
      <c r="B1283" s="90"/>
      <c r="C1283" s="89"/>
      <c r="D1283" s="91"/>
      <c r="E1283" s="77"/>
      <c r="M1283" s="133"/>
      <c r="N1283" s="135"/>
      <c r="O1283" s="133"/>
      <c r="P1283" s="136"/>
      <c r="Q1283" s="134"/>
      <c r="R1283" s="134"/>
      <c r="S1283" s="134"/>
    </row>
    <row r="1284" spans="1:19" s="75" customFormat="1" ht="14.6">
      <c r="A1284" s="90"/>
      <c r="B1284" s="90"/>
      <c r="C1284" s="89"/>
      <c r="D1284" s="91"/>
      <c r="E1284" s="77"/>
      <c r="M1284" s="133"/>
      <c r="N1284" s="135"/>
      <c r="O1284" s="133"/>
      <c r="P1284" s="136"/>
      <c r="Q1284" s="134"/>
      <c r="R1284" s="134"/>
      <c r="S1284" s="134"/>
    </row>
    <row r="1285" spans="1:19" s="75" customFormat="1" ht="14.6">
      <c r="A1285" s="90"/>
      <c r="B1285" s="90"/>
      <c r="C1285" s="89"/>
      <c r="D1285" s="91"/>
      <c r="E1285" s="77"/>
      <c r="M1285" s="133"/>
      <c r="N1285" s="135"/>
      <c r="O1285" s="133"/>
      <c r="P1285" s="136"/>
      <c r="Q1285" s="134"/>
      <c r="R1285" s="134"/>
      <c r="S1285" s="134"/>
    </row>
    <row r="1286" spans="1:19" s="75" customFormat="1" ht="14.6">
      <c r="A1286" s="90"/>
      <c r="B1286" s="90"/>
      <c r="C1286" s="89"/>
      <c r="D1286" s="91"/>
      <c r="E1286" s="77"/>
      <c r="M1286" s="133"/>
      <c r="N1286" s="135"/>
      <c r="O1286" s="133"/>
      <c r="P1286" s="136"/>
      <c r="Q1286" s="134"/>
      <c r="R1286" s="134"/>
      <c r="S1286" s="134"/>
    </row>
    <row r="1287" spans="1:19" s="75" customFormat="1" ht="14.6">
      <c r="A1287" s="90"/>
      <c r="B1287" s="90"/>
      <c r="C1287" s="89"/>
      <c r="D1287" s="91"/>
      <c r="E1287" s="77"/>
      <c r="M1287" s="133"/>
      <c r="N1287" s="135"/>
      <c r="O1287" s="133"/>
      <c r="P1287" s="136"/>
      <c r="Q1287" s="134"/>
      <c r="R1287" s="134"/>
      <c r="S1287" s="134"/>
    </row>
    <row r="1288" spans="1:19" s="75" customFormat="1" ht="14.6">
      <c r="A1288" s="90"/>
      <c r="B1288" s="90"/>
      <c r="C1288" s="89"/>
      <c r="D1288" s="91"/>
      <c r="E1288" s="77"/>
      <c r="M1288" s="133"/>
      <c r="N1288" s="135"/>
      <c r="O1288" s="133"/>
      <c r="P1288" s="136"/>
      <c r="Q1288" s="134"/>
      <c r="R1288" s="134"/>
      <c r="S1288" s="134"/>
    </row>
    <row r="1289" spans="1:19" s="75" customFormat="1" ht="14.6">
      <c r="A1289" s="90"/>
      <c r="B1289" s="90"/>
      <c r="C1289" s="89"/>
      <c r="D1289" s="91"/>
      <c r="E1289" s="77"/>
      <c r="M1289" s="133"/>
      <c r="N1289" s="135"/>
      <c r="O1289" s="133"/>
      <c r="P1289" s="136"/>
      <c r="Q1289" s="134"/>
      <c r="R1289" s="134"/>
      <c r="S1289" s="134"/>
    </row>
    <row r="1290" spans="1:19" s="75" customFormat="1" ht="14.6">
      <c r="A1290" s="90"/>
      <c r="B1290" s="90"/>
      <c r="C1290" s="89"/>
      <c r="D1290" s="91"/>
      <c r="E1290" s="77"/>
      <c r="M1290" s="133"/>
      <c r="N1290" s="135"/>
      <c r="O1290" s="133"/>
      <c r="P1290" s="136"/>
      <c r="Q1290" s="134"/>
      <c r="R1290" s="134"/>
      <c r="S1290" s="134"/>
    </row>
    <row r="1291" spans="1:19" s="75" customFormat="1" ht="14.6">
      <c r="A1291" s="90"/>
      <c r="B1291" s="90"/>
      <c r="C1291" s="89"/>
      <c r="D1291" s="91"/>
      <c r="E1291" s="77"/>
      <c r="M1291" s="133"/>
      <c r="N1291" s="135"/>
      <c r="O1291" s="133"/>
      <c r="P1291" s="136"/>
      <c r="Q1291" s="134"/>
      <c r="R1291" s="134"/>
      <c r="S1291" s="134"/>
    </row>
    <row r="1292" spans="1:19" s="75" customFormat="1" ht="14.6">
      <c r="A1292" s="90"/>
      <c r="B1292" s="90"/>
      <c r="C1292" s="89"/>
      <c r="D1292" s="91"/>
      <c r="E1292" s="77"/>
      <c r="M1292" s="133"/>
      <c r="N1292" s="135"/>
      <c r="O1292" s="133"/>
      <c r="P1292" s="136"/>
      <c r="Q1292" s="134"/>
      <c r="R1292" s="134"/>
      <c r="S1292" s="134"/>
    </row>
    <row r="1293" spans="1:19" s="75" customFormat="1" ht="14.6">
      <c r="A1293" s="90"/>
      <c r="B1293" s="90"/>
      <c r="C1293" s="89"/>
      <c r="D1293" s="91"/>
      <c r="E1293" s="77"/>
      <c r="M1293" s="133"/>
      <c r="N1293" s="135"/>
      <c r="O1293" s="133"/>
      <c r="P1293" s="136"/>
      <c r="Q1293" s="134"/>
      <c r="R1293" s="134"/>
      <c r="S1293" s="134"/>
    </row>
    <row r="1294" spans="1:19" s="75" customFormat="1" ht="14.6">
      <c r="A1294" s="90"/>
      <c r="B1294" s="90"/>
      <c r="C1294" s="89"/>
      <c r="D1294" s="91"/>
      <c r="E1294" s="77"/>
      <c r="M1294" s="133"/>
      <c r="N1294" s="135"/>
      <c r="O1294" s="133"/>
      <c r="P1294" s="136"/>
      <c r="Q1294" s="134"/>
      <c r="R1294" s="134"/>
      <c r="S1294" s="134"/>
    </row>
    <row r="1295" spans="1:19" s="75" customFormat="1" ht="14.6">
      <c r="A1295" s="90"/>
      <c r="B1295" s="90"/>
      <c r="C1295" s="89"/>
      <c r="D1295" s="91"/>
      <c r="E1295" s="77"/>
      <c r="M1295" s="133"/>
      <c r="N1295" s="135"/>
      <c r="O1295" s="133"/>
      <c r="P1295" s="136"/>
      <c r="Q1295" s="134"/>
      <c r="R1295" s="134"/>
      <c r="S1295" s="134"/>
    </row>
    <row r="1296" spans="1:19" s="75" customFormat="1" ht="14.6">
      <c r="A1296" s="90"/>
      <c r="B1296" s="90"/>
      <c r="C1296" s="89"/>
      <c r="D1296" s="91"/>
      <c r="E1296" s="77"/>
      <c r="M1296" s="133"/>
      <c r="N1296" s="135"/>
      <c r="O1296" s="133"/>
      <c r="P1296" s="136"/>
      <c r="Q1296" s="134"/>
      <c r="R1296" s="134"/>
      <c r="S1296" s="134"/>
    </row>
    <row r="1297" spans="1:19" s="75" customFormat="1" ht="14.6">
      <c r="A1297" s="90"/>
      <c r="B1297" s="90"/>
      <c r="C1297" s="89"/>
      <c r="D1297" s="91"/>
      <c r="E1297" s="77"/>
      <c r="M1297" s="133"/>
      <c r="N1297" s="135"/>
      <c r="O1297" s="133"/>
      <c r="P1297" s="136"/>
      <c r="Q1297" s="134"/>
      <c r="R1297" s="134"/>
      <c r="S1297" s="134"/>
    </row>
    <row r="1298" spans="1:19" s="75" customFormat="1" ht="14.6">
      <c r="A1298" s="90"/>
      <c r="B1298" s="90"/>
      <c r="C1298" s="89"/>
      <c r="D1298" s="91"/>
      <c r="E1298" s="77"/>
      <c r="M1298" s="133"/>
      <c r="N1298" s="135"/>
      <c r="O1298" s="133"/>
      <c r="P1298" s="136"/>
      <c r="Q1298" s="134"/>
      <c r="R1298" s="134"/>
      <c r="S1298" s="134"/>
    </row>
    <row r="1299" spans="1:19" s="75" customFormat="1" ht="14.6">
      <c r="A1299" s="90"/>
      <c r="B1299" s="90"/>
      <c r="C1299" s="89"/>
      <c r="D1299" s="91"/>
      <c r="E1299" s="77"/>
      <c r="M1299" s="133"/>
      <c r="N1299" s="135"/>
      <c r="O1299" s="133"/>
      <c r="P1299" s="136"/>
      <c r="Q1299" s="134"/>
      <c r="R1299" s="134"/>
      <c r="S1299" s="134"/>
    </row>
    <row r="1300" spans="1:19" s="75" customFormat="1" ht="14.6">
      <c r="A1300" s="90"/>
      <c r="B1300" s="90"/>
      <c r="C1300" s="89"/>
      <c r="D1300" s="91"/>
      <c r="E1300" s="77"/>
      <c r="M1300" s="133"/>
      <c r="N1300" s="135"/>
      <c r="O1300" s="133"/>
      <c r="P1300" s="136"/>
      <c r="Q1300" s="134"/>
      <c r="R1300" s="134"/>
      <c r="S1300" s="134"/>
    </row>
    <row r="1301" spans="1:19" s="75" customFormat="1" ht="14.6">
      <c r="A1301" s="90"/>
      <c r="B1301" s="90"/>
      <c r="C1301" s="89"/>
      <c r="D1301" s="91"/>
      <c r="E1301" s="77"/>
      <c r="M1301" s="133"/>
      <c r="N1301" s="135"/>
      <c r="O1301" s="133"/>
      <c r="P1301" s="136"/>
      <c r="Q1301" s="134"/>
      <c r="R1301" s="134"/>
      <c r="S1301" s="134"/>
    </row>
    <row r="1302" spans="1:19" s="75" customFormat="1" ht="14.6">
      <c r="A1302" s="90"/>
      <c r="B1302" s="90"/>
      <c r="C1302" s="89"/>
      <c r="D1302" s="91"/>
      <c r="E1302" s="77"/>
      <c r="M1302" s="133"/>
      <c r="N1302" s="135"/>
      <c r="O1302" s="133"/>
      <c r="P1302" s="136"/>
      <c r="Q1302" s="134"/>
      <c r="R1302" s="134"/>
      <c r="S1302" s="134"/>
    </row>
    <row r="1303" spans="1:19" s="75" customFormat="1" ht="14.6">
      <c r="A1303" s="90"/>
      <c r="B1303" s="90"/>
      <c r="C1303" s="89"/>
      <c r="D1303" s="91"/>
      <c r="E1303" s="77"/>
      <c r="M1303" s="133"/>
      <c r="N1303" s="135"/>
      <c r="O1303" s="133"/>
      <c r="P1303" s="136"/>
      <c r="Q1303" s="134"/>
      <c r="R1303" s="134"/>
      <c r="S1303" s="134"/>
    </row>
    <row r="1304" spans="1:19" s="75" customFormat="1" ht="14.6">
      <c r="A1304" s="90"/>
      <c r="B1304" s="90"/>
      <c r="C1304" s="89"/>
      <c r="D1304" s="91"/>
      <c r="E1304" s="77"/>
      <c r="M1304" s="133"/>
      <c r="N1304" s="135"/>
      <c r="O1304" s="133"/>
      <c r="P1304" s="136"/>
      <c r="Q1304" s="134"/>
      <c r="R1304" s="134"/>
      <c r="S1304" s="134"/>
    </row>
    <row r="1305" spans="1:19" s="75" customFormat="1" ht="14.6">
      <c r="A1305" s="90"/>
      <c r="B1305" s="90"/>
      <c r="C1305" s="89"/>
      <c r="D1305" s="91"/>
      <c r="E1305" s="77"/>
      <c r="M1305" s="133"/>
      <c r="N1305" s="135"/>
      <c r="O1305" s="133"/>
      <c r="P1305" s="136"/>
      <c r="Q1305" s="134"/>
      <c r="R1305" s="134"/>
      <c r="S1305" s="134"/>
    </row>
    <row r="1306" spans="1:19" s="75" customFormat="1" ht="14.6">
      <c r="A1306" s="90"/>
      <c r="B1306" s="90"/>
      <c r="C1306" s="89"/>
      <c r="D1306" s="91"/>
      <c r="E1306" s="77"/>
      <c r="M1306" s="133"/>
      <c r="N1306" s="135"/>
      <c r="O1306" s="133"/>
      <c r="P1306" s="136"/>
      <c r="Q1306" s="134"/>
      <c r="R1306" s="134"/>
      <c r="S1306" s="134"/>
    </row>
    <row r="1307" spans="1:19" s="75" customFormat="1" ht="14.6">
      <c r="A1307" s="90"/>
      <c r="B1307" s="90"/>
      <c r="C1307" s="89"/>
      <c r="D1307" s="91"/>
      <c r="E1307" s="77"/>
      <c r="M1307" s="133"/>
      <c r="N1307" s="135"/>
      <c r="O1307" s="133"/>
      <c r="P1307" s="136"/>
      <c r="Q1307" s="134"/>
      <c r="R1307" s="134"/>
      <c r="S1307" s="134"/>
    </row>
    <row r="1308" spans="1:19" s="75" customFormat="1" ht="14.6">
      <c r="A1308" s="90"/>
      <c r="B1308" s="90"/>
      <c r="C1308" s="89"/>
      <c r="D1308" s="91"/>
      <c r="E1308" s="77"/>
      <c r="M1308" s="133"/>
      <c r="N1308" s="135"/>
      <c r="O1308" s="133"/>
      <c r="P1308" s="136"/>
      <c r="Q1308" s="134"/>
      <c r="R1308" s="134"/>
      <c r="S1308" s="134"/>
    </row>
    <row r="1309" spans="1:19" s="75" customFormat="1" ht="14.6">
      <c r="A1309" s="90"/>
      <c r="B1309" s="90"/>
      <c r="C1309" s="89"/>
      <c r="D1309" s="91"/>
      <c r="E1309" s="77"/>
      <c r="M1309" s="133"/>
      <c r="N1309" s="135"/>
      <c r="O1309" s="133"/>
      <c r="P1309" s="136"/>
      <c r="Q1309" s="134"/>
      <c r="R1309" s="134"/>
      <c r="S1309" s="134"/>
    </row>
    <row r="1310" spans="1:19" s="75" customFormat="1" ht="14.6">
      <c r="A1310" s="90"/>
      <c r="B1310" s="90"/>
      <c r="C1310" s="89"/>
      <c r="D1310" s="91"/>
      <c r="E1310" s="77"/>
      <c r="M1310" s="133"/>
      <c r="N1310" s="135"/>
      <c r="O1310" s="133"/>
      <c r="P1310" s="136"/>
      <c r="Q1310" s="134"/>
      <c r="R1310" s="134"/>
      <c r="S1310" s="134"/>
    </row>
    <row r="1311" spans="1:19" s="75" customFormat="1" ht="14.6">
      <c r="A1311" s="90"/>
      <c r="B1311" s="90"/>
      <c r="C1311" s="89"/>
      <c r="D1311" s="91"/>
      <c r="E1311" s="77"/>
      <c r="M1311" s="133"/>
      <c r="N1311" s="135"/>
      <c r="O1311" s="133"/>
      <c r="P1311" s="136"/>
      <c r="Q1311" s="134"/>
      <c r="R1311" s="134"/>
      <c r="S1311" s="134"/>
    </row>
    <row r="1312" spans="1:19" s="75" customFormat="1" ht="14.6">
      <c r="A1312" s="90"/>
      <c r="B1312" s="90"/>
      <c r="C1312" s="89"/>
      <c r="D1312" s="91"/>
      <c r="E1312" s="77"/>
      <c r="M1312" s="133"/>
      <c r="N1312" s="135"/>
      <c r="O1312" s="133"/>
      <c r="P1312" s="136"/>
      <c r="Q1312" s="134"/>
      <c r="R1312" s="134"/>
      <c r="S1312" s="134"/>
    </row>
    <row r="1313" spans="1:19" s="75" customFormat="1" ht="14.6">
      <c r="A1313" s="90"/>
      <c r="B1313" s="90"/>
      <c r="C1313" s="89"/>
      <c r="D1313" s="91"/>
      <c r="E1313" s="77"/>
      <c r="M1313" s="133"/>
      <c r="N1313" s="135"/>
      <c r="O1313" s="133"/>
      <c r="P1313" s="136"/>
      <c r="Q1313" s="134"/>
      <c r="R1313" s="134"/>
      <c r="S1313" s="134"/>
    </row>
    <row r="1314" spans="1:19" s="75" customFormat="1" ht="14.6">
      <c r="A1314" s="90"/>
      <c r="B1314" s="90"/>
      <c r="C1314" s="89"/>
      <c r="D1314" s="91"/>
      <c r="E1314" s="77"/>
      <c r="M1314" s="133"/>
      <c r="N1314" s="135"/>
      <c r="O1314" s="133"/>
      <c r="P1314" s="136"/>
      <c r="Q1314" s="134"/>
      <c r="R1314" s="134"/>
      <c r="S1314" s="134"/>
    </row>
    <row r="1315" spans="1:19" s="75" customFormat="1" ht="14.6">
      <c r="A1315" s="90"/>
      <c r="B1315" s="90"/>
      <c r="C1315" s="89"/>
      <c r="D1315" s="91"/>
      <c r="E1315" s="77"/>
      <c r="M1315" s="133"/>
      <c r="N1315" s="135"/>
      <c r="O1315" s="133"/>
      <c r="P1315" s="136"/>
      <c r="Q1315" s="134"/>
      <c r="R1315" s="134"/>
      <c r="S1315" s="134"/>
    </row>
    <row r="1316" spans="1:19" s="75" customFormat="1" ht="14.6">
      <c r="A1316" s="90"/>
      <c r="B1316" s="90"/>
      <c r="C1316" s="89"/>
      <c r="D1316" s="91"/>
      <c r="E1316" s="77"/>
      <c r="M1316" s="133"/>
      <c r="N1316" s="135"/>
      <c r="O1316" s="133"/>
      <c r="P1316" s="136"/>
      <c r="Q1316" s="134"/>
      <c r="R1316" s="134"/>
      <c r="S1316" s="134"/>
    </row>
    <row r="1317" spans="1:19" s="75" customFormat="1" ht="14.6">
      <c r="A1317" s="90"/>
      <c r="B1317" s="90"/>
      <c r="C1317" s="89"/>
      <c r="D1317" s="91"/>
      <c r="E1317" s="77"/>
      <c r="M1317" s="133"/>
      <c r="N1317" s="135"/>
      <c r="O1317" s="133"/>
      <c r="P1317" s="136"/>
      <c r="Q1317" s="134"/>
      <c r="R1317" s="134"/>
      <c r="S1317" s="134"/>
    </row>
    <row r="1318" spans="1:19" s="75" customFormat="1" ht="14.6">
      <c r="A1318" s="90"/>
      <c r="B1318" s="90"/>
      <c r="C1318" s="89"/>
      <c r="D1318" s="91"/>
      <c r="E1318" s="77"/>
      <c r="M1318" s="133"/>
      <c r="N1318" s="135"/>
      <c r="O1318" s="133"/>
      <c r="P1318" s="136"/>
      <c r="Q1318" s="134"/>
      <c r="R1318" s="134"/>
      <c r="S1318" s="134"/>
    </row>
    <row r="1319" spans="1:19" s="75" customFormat="1" ht="14.6">
      <c r="A1319" s="90"/>
      <c r="B1319" s="90"/>
      <c r="C1319" s="89"/>
      <c r="D1319" s="91"/>
      <c r="E1319" s="77"/>
      <c r="M1319" s="133"/>
      <c r="N1319" s="135"/>
      <c r="O1319" s="133"/>
      <c r="P1319" s="136"/>
      <c r="Q1319" s="134"/>
      <c r="R1319" s="134"/>
      <c r="S1319" s="134"/>
    </row>
    <row r="1320" spans="1:19" s="75" customFormat="1" ht="14.6">
      <c r="A1320" s="90"/>
      <c r="B1320" s="90"/>
      <c r="C1320" s="89"/>
      <c r="D1320" s="91"/>
      <c r="E1320" s="77"/>
      <c r="M1320" s="133"/>
      <c r="N1320" s="135"/>
      <c r="O1320" s="133"/>
      <c r="P1320" s="136"/>
      <c r="Q1320" s="134"/>
      <c r="R1320" s="134"/>
      <c r="S1320" s="134"/>
    </row>
    <row r="1321" spans="1:19" s="75" customFormat="1" ht="14.6">
      <c r="A1321" s="90"/>
      <c r="B1321" s="90"/>
      <c r="C1321" s="89"/>
      <c r="D1321" s="91"/>
      <c r="E1321" s="77"/>
      <c r="M1321" s="133"/>
      <c r="N1321" s="135"/>
      <c r="O1321" s="133"/>
      <c r="P1321" s="136"/>
      <c r="Q1321" s="134"/>
      <c r="R1321" s="134"/>
      <c r="S1321" s="134"/>
    </row>
    <row r="1322" spans="1:19" s="75" customFormat="1" ht="14.6">
      <c r="A1322" s="90"/>
      <c r="B1322" s="90"/>
      <c r="C1322" s="89"/>
      <c r="D1322" s="91"/>
      <c r="E1322" s="77"/>
      <c r="M1322" s="133"/>
      <c r="N1322" s="135"/>
      <c r="O1322" s="133"/>
      <c r="P1322" s="136"/>
      <c r="Q1322" s="134"/>
      <c r="R1322" s="134"/>
      <c r="S1322" s="134"/>
    </row>
    <row r="1323" spans="1:19" s="75" customFormat="1" ht="14.6">
      <c r="A1323" s="90"/>
      <c r="B1323" s="90"/>
      <c r="C1323" s="89"/>
      <c r="D1323" s="91"/>
      <c r="E1323" s="77"/>
      <c r="M1323" s="133"/>
      <c r="N1323" s="135"/>
      <c r="O1323" s="133"/>
      <c r="P1323" s="136"/>
      <c r="Q1323" s="134"/>
      <c r="R1323" s="134"/>
      <c r="S1323" s="134"/>
    </row>
    <row r="1324" spans="1:19" s="75" customFormat="1" ht="14.6">
      <c r="A1324" s="90"/>
      <c r="B1324" s="90"/>
      <c r="C1324" s="89"/>
      <c r="D1324" s="91"/>
      <c r="E1324" s="77"/>
      <c r="M1324" s="133"/>
      <c r="N1324" s="135"/>
      <c r="O1324" s="133"/>
      <c r="P1324" s="136"/>
      <c r="Q1324" s="134"/>
      <c r="R1324" s="134"/>
      <c r="S1324" s="134"/>
    </row>
    <row r="1325" spans="1:19" s="75" customFormat="1" ht="14.6">
      <c r="A1325" s="90"/>
      <c r="B1325" s="90"/>
      <c r="C1325" s="89"/>
      <c r="D1325" s="91"/>
      <c r="E1325" s="77"/>
      <c r="M1325" s="133"/>
      <c r="N1325" s="135"/>
      <c r="O1325" s="133"/>
      <c r="P1325" s="136"/>
      <c r="Q1325" s="134"/>
      <c r="R1325" s="134"/>
      <c r="S1325" s="134"/>
    </row>
    <row r="1326" spans="1:19" s="75" customFormat="1" ht="14.6">
      <c r="A1326" s="90"/>
      <c r="B1326" s="90"/>
      <c r="C1326" s="89"/>
      <c r="D1326" s="91"/>
      <c r="E1326" s="77"/>
      <c r="M1326" s="133"/>
      <c r="N1326" s="135"/>
      <c r="O1326" s="133"/>
      <c r="P1326" s="136"/>
      <c r="Q1326" s="134"/>
      <c r="R1326" s="134"/>
      <c r="S1326" s="134"/>
    </row>
    <row r="1327" spans="1:19" s="75" customFormat="1" ht="14.6">
      <c r="A1327" s="90"/>
      <c r="B1327" s="90"/>
      <c r="C1327" s="89"/>
      <c r="D1327" s="91"/>
      <c r="E1327" s="77"/>
      <c r="M1327" s="133"/>
      <c r="N1327" s="135"/>
      <c r="O1327" s="133"/>
      <c r="P1327" s="136"/>
      <c r="Q1327" s="134"/>
      <c r="R1327" s="134"/>
      <c r="S1327" s="134"/>
    </row>
    <row r="1328" spans="1:19" s="75" customFormat="1" ht="14.6">
      <c r="A1328" s="90"/>
      <c r="B1328" s="90"/>
      <c r="C1328" s="89"/>
      <c r="D1328" s="91"/>
      <c r="E1328" s="77"/>
      <c r="M1328" s="133"/>
      <c r="N1328" s="135"/>
      <c r="O1328" s="133"/>
      <c r="P1328" s="136"/>
      <c r="Q1328" s="134"/>
      <c r="R1328" s="134"/>
      <c r="S1328" s="134"/>
    </row>
    <row r="1329" spans="1:19" s="75" customFormat="1" ht="14.6">
      <c r="A1329" s="90"/>
      <c r="B1329" s="90"/>
      <c r="C1329" s="89"/>
      <c r="D1329" s="91"/>
      <c r="E1329" s="77"/>
      <c r="M1329" s="133"/>
      <c r="N1329" s="135"/>
      <c r="O1329" s="133"/>
      <c r="P1329" s="136"/>
      <c r="Q1329" s="134"/>
      <c r="R1329" s="134"/>
      <c r="S1329" s="134"/>
    </row>
    <row r="1330" spans="1:19" s="75" customFormat="1" ht="14.6">
      <c r="A1330" s="90"/>
      <c r="B1330" s="90"/>
      <c r="C1330" s="89"/>
      <c r="D1330" s="91"/>
      <c r="E1330" s="77"/>
      <c r="M1330" s="133"/>
      <c r="N1330" s="135"/>
      <c r="O1330" s="133"/>
      <c r="P1330" s="136"/>
      <c r="Q1330" s="134"/>
      <c r="R1330" s="134"/>
      <c r="S1330" s="134"/>
    </row>
    <row r="1331" spans="1:19" s="75" customFormat="1" ht="14.6">
      <c r="A1331" s="90"/>
      <c r="B1331" s="90"/>
      <c r="C1331" s="89"/>
      <c r="D1331" s="91"/>
      <c r="E1331" s="77"/>
      <c r="M1331" s="133"/>
      <c r="N1331" s="135"/>
      <c r="O1331" s="133"/>
      <c r="P1331" s="136"/>
      <c r="Q1331" s="134"/>
      <c r="R1331" s="134"/>
      <c r="S1331" s="134"/>
    </row>
    <row r="1332" spans="1:19" s="75" customFormat="1" ht="14.6">
      <c r="A1332" s="90"/>
      <c r="B1332" s="90"/>
      <c r="C1332" s="89"/>
      <c r="D1332" s="91"/>
      <c r="E1332" s="77"/>
      <c r="M1332" s="133"/>
      <c r="N1332" s="135"/>
      <c r="O1332" s="133"/>
      <c r="P1332" s="136"/>
      <c r="Q1332" s="134"/>
      <c r="R1332" s="134"/>
      <c r="S1332" s="134"/>
    </row>
    <row r="1333" spans="1:19" s="75" customFormat="1" ht="14.6">
      <c r="A1333" s="90"/>
      <c r="B1333" s="90"/>
      <c r="C1333" s="89"/>
      <c r="D1333" s="91"/>
      <c r="E1333" s="77"/>
      <c r="M1333" s="133"/>
      <c r="N1333" s="135"/>
      <c r="O1333" s="133"/>
      <c r="P1333" s="136"/>
      <c r="Q1333" s="134"/>
      <c r="R1333" s="134"/>
      <c r="S1333" s="134"/>
    </row>
    <row r="1334" spans="1:19" s="75" customFormat="1" ht="14.6">
      <c r="A1334" s="90"/>
      <c r="B1334" s="90"/>
      <c r="C1334" s="89"/>
      <c r="D1334" s="91"/>
      <c r="E1334" s="77"/>
      <c r="M1334" s="133"/>
      <c r="N1334" s="135"/>
      <c r="O1334" s="133"/>
      <c r="P1334" s="136"/>
      <c r="Q1334" s="134"/>
      <c r="R1334" s="134"/>
      <c r="S1334" s="134"/>
    </row>
    <row r="1335" spans="1:19" s="75" customFormat="1" ht="14.6">
      <c r="A1335" s="90"/>
      <c r="B1335" s="90"/>
      <c r="C1335" s="89"/>
      <c r="D1335" s="91"/>
      <c r="E1335" s="77"/>
      <c r="M1335" s="133"/>
      <c r="N1335" s="135"/>
      <c r="O1335" s="133"/>
      <c r="P1335" s="136"/>
      <c r="Q1335" s="134"/>
      <c r="R1335" s="134"/>
      <c r="S1335" s="134"/>
    </row>
    <row r="1336" spans="1:19" s="75" customFormat="1" ht="14.6">
      <c r="A1336" s="90"/>
      <c r="B1336" s="90"/>
      <c r="C1336" s="89"/>
      <c r="D1336" s="91"/>
      <c r="E1336" s="77"/>
      <c r="M1336" s="133"/>
      <c r="N1336" s="135"/>
      <c r="O1336" s="133"/>
      <c r="P1336" s="136"/>
      <c r="Q1336" s="134"/>
      <c r="R1336" s="134"/>
      <c r="S1336" s="134"/>
    </row>
    <row r="1337" spans="1:19" s="75" customFormat="1" ht="14.6">
      <c r="A1337" s="90"/>
      <c r="B1337" s="90"/>
      <c r="C1337" s="89"/>
      <c r="D1337" s="91"/>
      <c r="E1337" s="77"/>
      <c r="M1337" s="133"/>
      <c r="N1337" s="135"/>
      <c r="O1337" s="133"/>
      <c r="P1337" s="136"/>
      <c r="Q1337" s="134"/>
      <c r="R1337" s="134"/>
      <c r="S1337" s="134"/>
    </row>
    <row r="1338" spans="1:19" s="75" customFormat="1" ht="14.6">
      <c r="A1338" s="90"/>
      <c r="B1338" s="90"/>
      <c r="C1338" s="89"/>
      <c r="D1338" s="91"/>
      <c r="E1338" s="77"/>
      <c r="M1338" s="133"/>
      <c r="N1338" s="135"/>
      <c r="O1338" s="133"/>
      <c r="P1338" s="136"/>
      <c r="Q1338" s="134"/>
      <c r="R1338" s="134"/>
      <c r="S1338" s="134"/>
    </row>
    <row r="1339" spans="1:19" s="75" customFormat="1" ht="14.6">
      <c r="A1339" s="90"/>
      <c r="B1339" s="90"/>
      <c r="C1339" s="89"/>
      <c r="D1339" s="91"/>
      <c r="E1339" s="77"/>
      <c r="M1339" s="133"/>
      <c r="N1339" s="135"/>
      <c r="O1339" s="133"/>
      <c r="P1339" s="136"/>
      <c r="Q1339" s="134"/>
      <c r="R1339" s="134"/>
      <c r="S1339" s="134"/>
    </row>
    <row r="1340" spans="1:19" s="75" customFormat="1" ht="14.6">
      <c r="A1340" s="90"/>
      <c r="B1340" s="90"/>
      <c r="C1340" s="89"/>
      <c r="D1340" s="91"/>
      <c r="E1340" s="77"/>
      <c r="M1340" s="133"/>
      <c r="N1340" s="135"/>
      <c r="O1340" s="133"/>
      <c r="P1340" s="136"/>
      <c r="Q1340" s="134"/>
      <c r="R1340" s="134"/>
      <c r="S1340" s="134"/>
    </row>
    <row r="1341" spans="1:19" s="75" customFormat="1" ht="14.6">
      <c r="A1341" s="90"/>
      <c r="B1341" s="90"/>
      <c r="C1341" s="89"/>
      <c r="D1341" s="91"/>
      <c r="E1341" s="77"/>
      <c r="M1341" s="133"/>
      <c r="N1341" s="135"/>
      <c r="O1341" s="133"/>
      <c r="P1341" s="136"/>
      <c r="Q1341" s="134"/>
      <c r="R1341" s="134"/>
      <c r="S1341" s="134"/>
    </row>
    <row r="1342" spans="1:19" s="75" customFormat="1" ht="14.6">
      <c r="A1342" s="90"/>
      <c r="B1342" s="90"/>
      <c r="C1342" s="89"/>
      <c r="D1342" s="91"/>
      <c r="E1342" s="77"/>
      <c r="M1342" s="133"/>
      <c r="N1342" s="135"/>
      <c r="O1342" s="133"/>
      <c r="P1342" s="136"/>
      <c r="Q1342" s="134"/>
      <c r="R1342" s="134"/>
      <c r="S1342" s="134"/>
    </row>
    <row r="1343" spans="1:19" s="75" customFormat="1" ht="14.6">
      <c r="A1343" s="90"/>
      <c r="B1343" s="90"/>
      <c r="C1343" s="89"/>
      <c r="D1343" s="91"/>
      <c r="E1343" s="77"/>
      <c r="M1343" s="133"/>
      <c r="N1343" s="135"/>
      <c r="O1343" s="133"/>
      <c r="P1343" s="136"/>
      <c r="Q1343" s="134"/>
      <c r="R1343" s="134"/>
      <c r="S1343" s="134"/>
    </row>
    <row r="1344" spans="1:19" s="75" customFormat="1" ht="14.6">
      <c r="A1344" s="90"/>
      <c r="B1344" s="90"/>
      <c r="C1344" s="89"/>
      <c r="D1344" s="91"/>
      <c r="E1344" s="77"/>
      <c r="M1344" s="133"/>
      <c r="N1344" s="135"/>
      <c r="O1344" s="133"/>
      <c r="P1344" s="136"/>
      <c r="Q1344" s="134"/>
      <c r="R1344" s="134"/>
      <c r="S1344" s="134"/>
    </row>
    <row r="1345" spans="1:19" s="75" customFormat="1" ht="14.6">
      <c r="A1345" s="90"/>
      <c r="B1345" s="90"/>
      <c r="C1345" s="89"/>
      <c r="D1345" s="91"/>
      <c r="E1345" s="77"/>
      <c r="M1345" s="133"/>
      <c r="N1345" s="135"/>
      <c r="O1345" s="133"/>
      <c r="P1345" s="136"/>
      <c r="Q1345" s="134"/>
      <c r="R1345" s="134"/>
      <c r="S1345" s="134"/>
    </row>
    <row r="1346" spans="1:19" s="75" customFormat="1" ht="14.6">
      <c r="A1346" s="90"/>
      <c r="B1346" s="90"/>
      <c r="C1346" s="89"/>
      <c r="D1346" s="91"/>
      <c r="E1346" s="77"/>
      <c r="M1346" s="133"/>
      <c r="N1346" s="135"/>
      <c r="O1346" s="133"/>
      <c r="P1346" s="136"/>
      <c r="Q1346" s="134"/>
      <c r="R1346" s="134"/>
      <c r="S1346" s="134"/>
    </row>
    <row r="1347" spans="1:19" s="75" customFormat="1" ht="14.6">
      <c r="A1347" s="90"/>
      <c r="B1347" s="90"/>
      <c r="C1347" s="89"/>
      <c r="D1347" s="91"/>
      <c r="E1347" s="77"/>
      <c r="M1347" s="133"/>
      <c r="N1347" s="135"/>
      <c r="O1347" s="133"/>
      <c r="P1347" s="136"/>
      <c r="Q1347" s="134"/>
      <c r="R1347" s="134"/>
      <c r="S1347" s="134"/>
    </row>
    <row r="1348" spans="1:19" s="75" customFormat="1" ht="14.6">
      <c r="A1348" s="90"/>
      <c r="B1348" s="90"/>
      <c r="C1348" s="89"/>
      <c r="D1348" s="91"/>
      <c r="E1348" s="77"/>
      <c r="M1348" s="133"/>
      <c r="N1348" s="135"/>
      <c r="O1348" s="133"/>
      <c r="P1348" s="136"/>
      <c r="Q1348" s="134"/>
      <c r="R1348" s="134"/>
      <c r="S1348" s="134"/>
    </row>
    <row r="1349" spans="1:19" s="75" customFormat="1" ht="14.6">
      <c r="A1349" s="90"/>
      <c r="B1349" s="90"/>
      <c r="C1349" s="89"/>
      <c r="D1349" s="91"/>
      <c r="E1349" s="77"/>
      <c r="M1349" s="133"/>
      <c r="N1349" s="135"/>
      <c r="O1349" s="133"/>
      <c r="P1349" s="136"/>
      <c r="Q1349" s="134"/>
      <c r="R1349" s="134"/>
      <c r="S1349" s="134"/>
    </row>
    <row r="1350" spans="1:19" s="75" customFormat="1" ht="14.6">
      <c r="A1350" s="90"/>
      <c r="B1350" s="90"/>
      <c r="C1350" s="89"/>
      <c r="D1350" s="91"/>
      <c r="E1350" s="77"/>
      <c r="M1350" s="133"/>
      <c r="N1350" s="135"/>
      <c r="O1350" s="133"/>
      <c r="P1350" s="136"/>
      <c r="Q1350" s="134"/>
      <c r="R1350" s="134"/>
      <c r="S1350" s="134"/>
    </row>
    <row r="1351" spans="1:19" s="75" customFormat="1" ht="14.6">
      <c r="A1351" s="90"/>
      <c r="B1351" s="90"/>
      <c r="C1351" s="89"/>
      <c r="D1351" s="91"/>
      <c r="E1351" s="77"/>
      <c r="M1351" s="133"/>
      <c r="N1351" s="135"/>
      <c r="O1351" s="133"/>
      <c r="P1351" s="136"/>
      <c r="Q1351" s="134"/>
      <c r="R1351" s="134"/>
      <c r="S1351" s="134"/>
    </row>
    <row r="1352" spans="1:19" s="75" customFormat="1" ht="14.6">
      <c r="A1352" s="90"/>
      <c r="B1352" s="90"/>
      <c r="C1352" s="89"/>
      <c r="D1352" s="91"/>
      <c r="E1352" s="77"/>
      <c r="M1352" s="133"/>
      <c r="N1352" s="135"/>
      <c r="O1352" s="133"/>
      <c r="P1352" s="136"/>
      <c r="Q1352" s="134"/>
      <c r="R1352" s="134"/>
      <c r="S1352" s="134"/>
    </row>
    <row r="1353" spans="1:19" s="75" customFormat="1" ht="14.6">
      <c r="A1353" s="90"/>
      <c r="B1353" s="90"/>
      <c r="C1353" s="89"/>
      <c r="D1353" s="91"/>
      <c r="E1353" s="77"/>
      <c r="M1353" s="133"/>
      <c r="N1353" s="135"/>
      <c r="O1353" s="133"/>
      <c r="P1353" s="136"/>
      <c r="Q1353" s="134"/>
      <c r="R1353" s="134"/>
      <c r="S1353" s="134"/>
    </row>
    <row r="1354" spans="1:19" s="75" customFormat="1" ht="14.6">
      <c r="A1354" s="90"/>
      <c r="B1354" s="90"/>
      <c r="C1354" s="89"/>
      <c r="D1354" s="91"/>
      <c r="E1354" s="77"/>
      <c r="M1354" s="133"/>
      <c r="N1354" s="135"/>
      <c r="O1354" s="133"/>
      <c r="P1354" s="136"/>
      <c r="Q1354" s="134"/>
      <c r="R1354" s="134"/>
      <c r="S1354" s="134"/>
    </row>
    <row r="1355" spans="1:19" s="75" customFormat="1" ht="14.6">
      <c r="A1355" s="90"/>
      <c r="B1355" s="90"/>
      <c r="C1355" s="89"/>
      <c r="D1355" s="91"/>
      <c r="E1355" s="77"/>
      <c r="M1355" s="133"/>
      <c r="N1355" s="135"/>
      <c r="O1355" s="133"/>
      <c r="P1355" s="136"/>
      <c r="Q1355" s="134"/>
      <c r="R1355" s="134"/>
      <c r="S1355" s="134"/>
    </row>
    <row r="1356" spans="1:19" s="75" customFormat="1" ht="14.6">
      <c r="A1356" s="90"/>
      <c r="B1356" s="90"/>
      <c r="C1356" s="89"/>
      <c r="D1356" s="91"/>
      <c r="E1356" s="77"/>
      <c r="M1356" s="133"/>
      <c r="N1356" s="135"/>
      <c r="O1356" s="133"/>
      <c r="P1356" s="136"/>
      <c r="Q1356" s="134"/>
      <c r="R1356" s="134"/>
      <c r="S1356" s="134"/>
    </row>
    <row r="1357" spans="1:19" s="75" customFormat="1" ht="14.6">
      <c r="A1357" s="90"/>
      <c r="B1357" s="90"/>
      <c r="C1357" s="89"/>
      <c r="D1357" s="91"/>
      <c r="E1357" s="77"/>
      <c r="M1357" s="133"/>
      <c r="N1357" s="135"/>
      <c r="O1357" s="133"/>
      <c r="P1357" s="136"/>
      <c r="Q1357" s="134"/>
      <c r="R1357" s="134"/>
      <c r="S1357" s="134"/>
    </row>
    <row r="1358" spans="1:19" s="75" customFormat="1" ht="14.6">
      <c r="A1358" s="90"/>
      <c r="B1358" s="90"/>
      <c r="C1358" s="89"/>
      <c r="D1358" s="91"/>
      <c r="E1358" s="77"/>
      <c r="M1358" s="133"/>
      <c r="N1358" s="135"/>
      <c r="O1358" s="133"/>
      <c r="P1358" s="136"/>
      <c r="Q1358" s="134"/>
      <c r="R1358" s="134"/>
      <c r="S1358" s="134"/>
    </row>
    <row r="1359" spans="1:19" s="75" customFormat="1" ht="14.6">
      <c r="A1359" s="90"/>
      <c r="B1359" s="90"/>
      <c r="C1359" s="89"/>
      <c r="D1359" s="91"/>
      <c r="E1359" s="77"/>
      <c r="M1359" s="133"/>
      <c r="N1359" s="135"/>
      <c r="O1359" s="133"/>
      <c r="P1359" s="136"/>
      <c r="Q1359" s="134"/>
      <c r="R1359" s="134"/>
      <c r="S1359" s="134"/>
    </row>
    <row r="1360" spans="1:19" s="75" customFormat="1" ht="14.6">
      <c r="A1360" s="90"/>
      <c r="B1360" s="90"/>
      <c r="C1360" s="89"/>
      <c r="D1360" s="91"/>
      <c r="E1360" s="77"/>
      <c r="M1360" s="133"/>
      <c r="N1360" s="135"/>
      <c r="O1360" s="133"/>
      <c r="P1360" s="136"/>
      <c r="Q1360" s="134"/>
      <c r="R1360" s="134"/>
      <c r="S1360" s="134"/>
    </row>
    <row r="1361" spans="1:19" s="75" customFormat="1" ht="14.6">
      <c r="A1361" s="90"/>
      <c r="B1361" s="90"/>
      <c r="C1361" s="89"/>
      <c r="D1361" s="91"/>
      <c r="E1361" s="77"/>
      <c r="M1361" s="133"/>
      <c r="N1361" s="135"/>
      <c r="O1361" s="133"/>
      <c r="P1361" s="136"/>
      <c r="Q1361" s="134"/>
      <c r="R1361" s="134"/>
      <c r="S1361" s="134"/>
    </row>
    <row r="1362" spans="1:19" s="75" customFormat="1" ht="14.6">
      <c r="A1362" s="90"/>
      <c r="B1362" s="90"/>
      <c r="C1362" s="89"/>
      <c r="D1362" s="91"/>
      <c r="E1362" s="77"/>
      <c r="M1362" s="133"/>
      <c r="N1362" s="135"/>
      <c r="O1362" s="133"/>
      <c r="P1362" s="136"/>
      <c r="Q1362" s="134"/>
      <c r="R1362" s="134"/>
      <c r="S1362" s="134"/>
    </row>
    <row r="1363" spans="1:19" s="75" customFormat="1" ht="14.6">
      <c r="A1363" s="90"/>
      <c r="B1363" s="90"/>
      <c r="C1363" s="89"/>
      <c r="D1363" s="91"/>
      <c r="E1363" s="77"/>
      <c r="M1363" s="133"/>
      <c r="N1363" s="135"/>
      <c r="O1363" s="133"/>
      <c r="P1363" s="136"/>
      <c r="Q1363" s="134"/>
      <c r="R1363" s="134"/>
      <c r="S1363" s="134"/>
    </row>
    <row r="1364" spans="1:19" s="75" customFormat="1" ht="14.6">
      <c r="A1364" s="90"/>
      <c r="B1364" s="90"/>
      <c r="C1364" s="89"/>
      <c r="D1364" s="91"/>
      <c r="E1364" s="77"/>
      <c r="M1364" s="133"/>
      <c r="N1364" s="135"/>
      <c r="O1364" s="133"/>
      <c r="P1364" s="136"/>
      <c r="Q1364" s="134"/>
      <c r="R1364" s="134"/>
      <c r="S1364" s="134"/>
    </row>
    <row r="1365" spans="1:19" s="75" customFormat="1" ht="14.6">
      <c r="A1365" s="90"/>
      <c r="B1365" s="90"/>
      <c r="C1365" s="89"/>
      <c r="D1365" s="91"/>
      <c r="E1365" s="77"/>
      <c r="M1365" s="133"/>
      <c r="N1365" s="135"/>
      <c r="O1365" s="133"/>
      <c r="P1365" s="136"/>
      <c r="Q1365" s="134"/>
      <c r="R1365" s="134"/>
      <c r="S1365" s="134"/>
    </row>
    <row r="1366" spans="1:19" s="75" customFormat="1" ht="14.6">
      <c r="A1366" s="90"/>
      <c r="B1366" s="90"/>
      <c r="C1366" s="89"/>
      <c r="D1366" s="91"/>
      <c r="E1366" s="77"/>
      <c r="M1366" s="133"/>
      <c r="N1366" s="135"/>
      <c r="O1366" s="133"/>
      <c r="P1366" s="136"/>
      <c r="Q1366" s="134"/>
      <c r="R1366" s="134"/>
      <c r="S1366" s="134"/>
    </row>
    <row r="1367" spans="1:19" s="75" customFormat="1" ht="14.6">
      <c r="A1367" s="90"/>
      <c r="B1367" s="90"/>
      <c r="C1367" s="89"/>
      <c r="D1367" s="91"/>
      <c r="E1367" s="77"/>
      <c r="M1367" s="133"/>
      <c r="N1367" s="135"/>
      <c r="O1367" s="133"/>
      <c r="P1367" s="136"/>
      <c r="Q1367" s="134"/>
      <c r="R1367" s="134"/>
      <c r="S1367" s="134"/>
    </row>
    <row r="1368" spans="1:19" s="75" customFormat="1" ht="14.6">
      <c r="A1368" s="90"/>
      <c r="B1368" s="90"/>
      <c r="C1368" s="89"/>
      <c r="D1368" s="91"/>
      <c r="E1368" s="77"/>
      <c r="M1368" s="133"/>
      <c r="N1368" s="135"/>
      <c r="O1368" s="133"/>
      <c r="P1368" s="136"/>
      <c r="Q1368" s="134"/>
      <c r="R1368" s="134"/>
      <c r="S1368" s="134"/>
    </row>
    <row r="1369" spans="1:19" s="75" customFormat="1" ht="14.6">
      <c r="A1369" s="90"/>
      <c r="B1369" s="90"/>
      <c r="C1369" s="89"/>
      <c r="D1369" s="91"/>
      <c r="E1369" s="77"/>
      <c r="M1369" s="133"/>
      <c r="N1369" s="135"/>
      <c r="O1369" s="133"/>
      <c r="P1369" s="136"/>
      <c r="Q1369" s="134"/>
      <c r="R1369" s="134"/>
      <c r="S1369" s="134"/>
    </row>
    <row r="1370" spans="1:19" s="75" customFormat="1" ht="14.6">
      <c r="A1370" s="90"/>
      <c r="B1370" s="90"/>
      <c r="C1370" s="89"/>
      <c r="D1370" s="91"/>
      <c r="E1370" s="77"/>
      <c r="M1370" s="133"/>
      <c r="N1370" s="135"/>
      <c r="O1370" s="133"/>
      <c r="P1370" s="136"/>
      <c r="Q1370" s="134"/>
      <c r="R1370" s="134"/>
      <c r="S1370" s="134"/>
    </row>
    <row r="1371" spans="1:19" s="75" customFormat="1" ht="14.6">
      <c r="A1371" s="90"/>
      <c r="B1371" s="90"/>
      <c r="C1371" s="89"/>
      <c r="D1371" s="91"/>
      <c r="E1371" s="77"/>
      <c r="M1371" s="133"/>
      <c r="N1371" s="135"/>
      <c r="O1371" s="133"/>
      <c r="P1371" s="136"/>
      <c r="Q1371" s="134"/>
      <c r="R1371" s="134"/>
      <c r="S1371" s="134"/>
    </row>
    <row r="1372" spans="1:19" s="75" customFormat="1" ht="14.6">
      <c r="A1372" s="90"/>
      <c r="B1372" s="90"/>
      <c r="C1372" s="89"/>
      <c r="D1372" s="91"/>
      <c r="E1372" s="77"/>
      <c r="M1372" s="133"/>
      <c r="N1372" s="135"/>
      <c r="O1372" s="133"/>
      <c r="P1372" s="136"/>
      <c r="Q1372" s="134"/>
      <c r="R1372" s="134"/>
      <c r="S1372" s="134"/>
    </row>
    <row r="1373" spans="1:19" s="75" customFormat="1" ht="14.6">
      <c r="A1373" s="90"/>
      <c r="B1373" s="90"/>
      <c r="C1373" s="89"/>
      <c r="D1373" s="91"/>
      <c r="E1373" s="77"/>
      <c r="M1373" s="133"/>
      <c r="N1373" s="135"/>
      <c r="O1373" s="133"/>
      <c r="P1373" s="136"/>
      <c r="Q1373" s="134"/>
      <c r="R1373" s="134"/>
      <c r="S1373" s="134"/>
    </row>
    <row r="1374" spans="1:19" s="75" customFormat="1" ht="14.6">
      <c r="A1374" s="90"/>
      <c r="B1374" s="90"/>
      <c r="C1374" s="89"/>
      <c r="D1374" s="91"/>
      <c r="E1374" s="77"/>
      <c r="M1374" s="133"/>
      <c r="N1374" s="135"/>
      <c r="O1374" s="133"/>
      <c r="P1374" s="136"/>
      <c r="Q1374" s="134"/>
      <c r="R1374" s="134"/>
      <c r="S1374" s="134"/>
    </row>
    <row r="1375" spans="1:19" s="75" customFormat="1" ht="14.6">
      <c r="A1375" s="90"/>
      <c r="B1375" s="90"/>
      <c r="C1375" s="89"/>
      <c r="D1375" s="91"/>
      <c r="E1375" s="77"/>
      <c r="M1375" s="133"/>
      <c r="N1375" s="135"/>
      <c r="O1375" s="133"/>
      <c r="P1375" s="136"/>
      <c r="Q1375" s="134"/>
      <c r="R1375" s="134"/>
      <c r="S1375" s="134"/>
    </row>
    <row r="1376" spans="1:19" s="75" customFormat="1" ht="14.6">
      <c r="A1376" s="90"/>
      <c r="B1376" s="90"/>
      <c r="C1376" s="89"/>
      <c r="D1376" s="91"/>
      <c r="E1376" s="77"/>
      <c r="M1376" s="133"/>
      <c r="N1376" s="135"/>
      <c r="O1376" s="133"/>
      <c r="P1376" s="136"/>
      <c r="Q1376" s="134"/>
      <c r="R1376" s="134"/>
      <c r="S1376" s="134"/>
    </row>
    <row r="1377" spans="1:19" s="75" customFormat="1" ht="14.6">
      <c r="A1377" s="90"/>
      <c r="B1377" s="90"/>
      <c r="C1377" s="89"/>
      <c r="D1377" s="91"/>
      <c r="E1377" s="77"/>
      <c r="M1377" s="133"/>
      <c r="N1377" s="135"/>
      <c r="O1377" s="133"/>
      <c r="P1377" s="136"/>
      <c r="Q1377" s="134"/>
      <c r="R1377" s="134"/>
      <c r="S1377" s="134"/>
    </row>
    <row r="1378" spans="1:19" s="75" customFormat="1" ht="14.6">
      <c r="A1378" s="90"/>
      <c r="B1378" s="90"/>
      <c r="C1378" s="89"/>
      <c r="D1378" s="91"/>
      <c r="E1378" s="77"/>
      <c r="M1378" s="133"/>
      <c r="N1378" s="135"/>
      <c r="O1378" s="133"/>
      <c r="P1378" s="136"/>
      <c r="Q1378" s="134"/>
      <c r="R1378" s="134"/>
      <c r="S1378" s="134"/>
    </row>
    <row r="1379" spans="1:19" s="75" customFormat="1" ht="14.6">
      <c r="A1379" s="90"/>
      <c r="B1379" s="90"/>
      <c r="C1379" s="89"/>
      <c r="D1379" s="91"/>
      <c r="E1379" s="77"/>
      <c r="M1379" s="133"/>
      <c r="N1379" s="135"/>
      <c r="O1379" s="133"/>
      <c r="P1379" s="136"/>
      <c r="Q1379" s="134"/>
      <c r="R1379" s="134"/>
      <c r="S1379" s="134"/>
    </row>
    <row r="1380" spans="1:19" s="75" customFormat="1" ht="14.6">
      <c r="A1380" s="90"/>
      <c r="B1380" s="90"/>
      <c r="C1380" s="89"/>
      <c r="D1380" s="91"/>
      <c r="E1380" s="77"/>
      <c r="M1380" s="133"/>
      <c r="N1380" s="135"/>
      <c r="O1380" s="133"/>
      <c r="P1380" s="136"/>
      <c r="Q1380" s="134"/>
      <c r="R1380" s="134"/>
      <c r="S1380" s="134"/>
    </row>
    <row r="1381" spans="1:19" s="75" customFormat="1" ht="14.6">
      <c r="A1381" s="90"/>
      <c r="B1381" s="90"/>
      <c r="C1381" s="89"/>
      <c r="D1381" s="91"/>
      <c r="E1381" s="77"/>
      <c r="M1381" s="133"/>
      <c r="N1381" s="135"/>
      <c r="O1381" s="133"/>
      <c r="P1381" s="136"/>
      <c r="Q1381" s="134"/>
      <c r="R1381" s="134"/>
      <c r="S1381" s="134"/>
    </row>
    <row r="1382" spans="1:19" s="75" customFormat="1" ht="14.6">
      <c r="A1382" s="90"/>
      <c r="B1382" s="90"/>
      <c r="C1382" s="89"/>
      <c r="D1382" s="91"/>
      <c r="E1382" s="77"/>
      <c r="M1382" s="133"/>
      <c r="N1382" s="135"/>
      <c r="O1382" s="133"/>
      <c r="P1382" s="136"/>
      <c r="Q1382" s="134"/>
      <c r="R1382" s="134"/>
      <c r="S1382" s="134"/>
    </row>
    <row r="1383" spans="1:19" s="75" customFormat="1" ht="14.6">
      <c r="A1383" s="90"/>
      <c r="B1383" s="90"/>
      <c r="C1383" s="89"/>
      <c r="D1383" s="91"/>
      <c r="E1383" s="77"/>
      <c r="M1383" s="133"/>
      <c r="N1383" s="135"/>
      <c r="O1383" s="133"/>
      <c r="P1383" s="136"/>
      <c r="Q1383" s="134"/>
      <c r="R1383" s="134"/>
      <c r="S1383" s="134"/>
    </row>
    <row r="1384" spans="1:19" s="75" customFormat="1" ht="14.6">
      <c r="A1384" s="90"/>
      <c r="B1384" s="90"/>
      <c r="C1384" s="89"/>
      <c r="D1384" s="91"/>
      <c r="E1384" s="77"/>
      <c r="M1384" s="133"/>
      <c r="N1384" s="135"/>
      <c r="O1384" s="133"/>
      <c r="P1384" s="136"/>
      <c r="Q1384" s="134"/>
      <c r="R1384" s="134"/>
      <c r="S1384" s="134"/>
    </row>
    <row r="1385" spans="1:19" s="75" customFormat="1" ht="14.6">
      <c r="A1385" s="90"/>
      <c r="B1385" s="90"/>
      <c r="C1385" s="89"/>
      <c r="D1385" s="91"/>
      <c r="E1385" s="77"/>
      <c r="M1385" s="133"/>
      <c r="N1385" s="135"/>
      <c r="O1385" s="133"/>
      <c r="P1385" s="136"/>
      <c r="Q1385" s="134"/>
      <c r="R1385" s="134"/>
      <c r="S1385" s="134"/>
    </row>
    <row r="1386" spans="1:19" s="75" customFormat="1" ht="14.6">
      <c r="A1386" s="90"/>
      <c r="B1386" s="90"/>
      <c r="C1386" s="89"/>
      <c r="D1386" s="91"/>
      <c r="E1386" s="77"/>
      <c r="M1386" s="133"/>
      <c r="N1386" s="135"/>
      <c r="O1386" s="133"/>
      <c r="P1386" s="136"/>
      <c r="Q1386" s="134"/>
      <c r="R1386" s="134"/>
      <c r="S1386" s="134"/>
    </row>
    <row r="1387" spans="1:19" s="75" customFormat="1" ht="14.6">
      <c r="A1387" s="90"/>
      <c r="B1387" s="90"/>
      <c r="C1387" s="89"/>
      <c r="D1387" s="91"/>
      <c r="E1387" s="77"/>
      <c r="M1387" s="133"/>
      <c r="N1387" s="135"/>
      <c r="O1387" s="133"/>
      <c r="P1387" s="136"/>
      <c r="Q1387" s="134"/>
      <c r="R1387" s="134"/>
      <c r="S1387" s="134"/>
    </row>
    <row r="1388" spans="1:19" s="75" customFormat="1" ht="14.6">
      <c r="A1388" s="90"/>
      <c r="B1388" s="90"/>
      <c r="C1388" s="89"/>
      <c r="D1388" s="91"/>
      <c r="E1388" s="77"/>
      <c r="M1388" s="133"/>
      <c r="N1388" s="135"/>
      <c r="O1388" s="133"/>
      <c r="P1388" s="136"/>
      <c r="Q1388" s="134"/>
      <c r="R1388" s="134"/>
      <c r="S1388" s="134"/>
    </row>
    <row r="1389" spans="1:19" s="75" customFormat="1" ht="14.6">
      <c r="A1389" s="90"/>
      <c r="B1389" s="90"/>
      <c r="C1389" s="89"/>
      <c r="D1389" s="91"/>
      <c r="E1389" s="77"/>
      <c r="M1389" s="133"/>
      <c r="N1389" s="135"/>
      <c r="O1389" s="133"/>
      <c r="P1389" s="136"/>
      <c r="Q1389" s="134"/>
      <c r="R1389" s="134"/>
      <c r="S1389" s="134"/>
    </row>
    <row r="1390" spans="1:19" s="75" customFormat="1" ht="14.6">
      <c r="A1390" s="90"/>
      <c r="B1390" s="90"/>
      <c r="C1390" s="89"/>
      <c r="D1390" s="91"/>
      <c r="E1390" s="77"/>
      <c r="M1390" s="133"/>
      <c r="N1390" s="135"/>
      <c r="O1390" s="133"/>
      <c r="P1390" s="136"/>
      <c r="Q1390" s="134"/>
      <c r="R1390" s="134"/>
      <c r="S1390" s="134"/>
    </row>
    <row r="1391" spans="1:19" s="75" customFormat="1" ht="14.6">
      <c r="A1391" s="90"/>
      <c r="B1391" s="90"/>
      <c r="C1391" s="89"/>
      <c r="D1391" s="91"/>
      <c r="E1391" s="77"/>
      <c r="M1391" s="133"/>
      <c r="N1391" s="135"/>
      <c r="O1391" s="133"/>
      <c r="P1391" s="136"/>
      <c r="Q1391" s="134"/>
      <c r="R1391" s="134"/>
      <c r="S1391" s="134"/>
    </row>
    <row r="1392" spans="1:19" s="75" customFormat="1" ht="14.6">
      <c r="A1392" s="90"/>
      <c r="B1392" s="90"/>
      <c r="C1392" s="89"/>
      <c r="D1392" s="91"/>
      <c r="E1392" s="77"/>
      <c r="M1392" s="133"/>
      <c r="N1392" s="135"/>
      <c r="O1392" s="133"/>
      <c r="P1392" s="136"/>
      <c r="Q1392" s="134"/>
      <c r="R1392" s="134"/>
      <c r="S1392" s="134"/>
    </row>
    <row r="1393" spans="1:19" s="75" customFormat="1" ht="14.6">
      <c r="A1393" s="90"/>
      <c r="B1393" s="90"/>
      <c r="C1393" s="89"/>
      <c r="D1393" s="91"/>
      <c r="E1393" s="77"/>
      <c r="M1393" s="133"/>
      <c r="N1393" s="135"/>
      <c r="O1393" s="133"/>
      <c r="P1393" s="136"/>
      <c r="Q1393" s="134"/>
      <c r="R1393" s="134"/>
      <c r="S1393" s="134"/>
    </row>
    <row r="1394" spans="1:19" s="75" customFormat="1" ht="14.6">
      <c r="A1394" s="90"/>
      <c r="B1394" s="90"/>
      <c r="C1394" s="89"/>
      <c r="D1394" s="91"/>
      <c r="E1394" s="77"/>
      <c r="M1394" s="133"/>
      <c r="N1394" s="135"/>
      <c r="O1394" s="133"/>
      <c r="P1394" s="136"/>
      <c r="Q1394" s="134"/>
      <c r="R1394" s="134"/>
      <c r="S1394" s="134"/>
    </row>
    <row r="1395" spans="1:19" s="75" customFormat="1" ht="14.6">
      <c r="A1395" s="90"/>
      <c r="B1395" s="90"/>
      <c r="C1395" s="89"/>
      <c r="D1395" s="91"/>
      <c r="E1395" s="77"/>
      <c r="M1395" s="133"/>
      <c r="N1395" s="135"/>
      <c r="O1395" s="133"/>
      <c r="P1395" s="136"/>
      <c r="Q1395" s="134"/>
      <c r="R1395" s="134"/>
      <c r="S1395" s="134"/>
    </row>
    <row r="1396" spans="1:19" s="75" customFormat="1" ht="14.6">
      <c r="A1396" s="90"/>
      <c r="B1396" s="90"/>
      <c r="C1396" s="89"/>
      <c r="D1396" s="91"/>
      <c r="E1396" s="77"/>
      <c r="M1396" s="133"/>
      <c r="N1396" s="135"/>
      <c r="O1396" s="133"/>
      <c r="P1396" s="136"/>
      <c r="Q1396" s="134"/>
      <c r="R1396" s="134"/>
      <c r="S1396" s="134"/>
    </row>
    <row r="1397" spans="1:19" s="75" customFormat="1" ht="14.6">
      <c r="A1397" s="90"/>
      <c r="B1397" s="90"/>
      <c r="C1397" s="89"/>
      <c r="D1397" s="91"/>
      <c r="E1397" s="77"/>
      <c r="M1397" s="133"/>
      <c r="N1397" s="135"/>
      <c r="O1397" s="133"/>
      <c r="P1397" s="136"/>
      <c r="Q1397" s="134"/>
      <c r="R1397" s="134"/>
      <c r="S1397" s="134"/>
    </row>
    <row r="1398" spans="1:19" s="75" customFormat="1" ht="14.6">
      <c r="A1398" s="90"/>
      <c r="B1398" s="90"/>
      <c r="C1398" s="89"/>
      <c r="D1398" s="91"/>
      <c r="E1398" s="77"/>
      <c r="M1398" s="133"/>
      <c r="N1398" s="135"/>
      <c r="O1398" s="133"/>
      <c r="P1398" s="136"/>
      <c r="Q1398" s="134"/>
      <c r="R1398" s="134"/>
      <c r="S1398" s="134"/>
    </row>
    <row r="1399" spans="1:19" s="75" customFormat="1" ht="14.6">
      <c r="A1399" s="90"/>
      <c r="B1399" s="90"/>
      <c r="C1399" s="89"/>
      <c r="D1399" s="91"/>
      <c r="E1399" s="77"/>
      <c r="M1399" s="133"/>
      <c r="N1399" s="135"/>
      <c r="O1399" s="133"/>
      <c r="P1399" s="136"/>
      <c r="Q1399" s="134"/>
      <c r="R1399" s="134"/>
      <c r="S1399" s="134"/>
    </row>
    <row r="1400" spans="1:19" s="75" customFormat="1" ht="14.6">
      <c r="A1400" s="90"/>
      <c r="B1400" s="90"/>
      <c r="C1400" s="89"/>
      <c r="D1400" s="91"/>
      <c r="E1400" s="77"/>
      <c r="M1400" s="133"/>
      <c r="N1400" s="135"/>
      <c r="O1400" s="133"/>
      <c r="P1400" s="136"/>
      <c r="Q1400" s="134"/>
      <c r="R1400" s="134"/>
      <c r="S1400" s="134"/>
    </row>
    <row r="1401" spans="1:19" s="75" customFormat="1" ht="14.6">
      <c r="A1401" s="90"/>
      <c r="B1401" s="90"/>
      <c r="C1401" s="89"/>
      <c r="D1401" s="91"/>
      <c r="E1401" s="77"/>
      <c r="M1401" s="133"/>
      <c r="N1401" s="135"/>
      <c r="O1401" s="133"/>
      <c r="P1401" s="136"/>
      <c r="Q1401" s="134"/>
      <c r="R1401" s="134"/>
      <c r="S1401" s="134"/>
    </row>
    <row r="1402" spans="1:19" s="75" customFormat="1" ht="14.6">
      <c r="A1402" s="90"/>
      <c r="B1402" s="90"/>
      <c r="C1402" s="89"/>
      <c r="D1402" s="91"/>
      <c r="E1402" s="77"/>
      <c r="M1402" s="133"/>
      <c r="N1402" s="135"/>
      <c r="O1402" s="133"/>
      <c r="P1402" s="136"/>
      <c r="Q1402" s="134"/>
      <c r="R1402" s="134"/>
      <c r="S1402" s="134"/>
    </row>
    <row r="1403" spans="1:19" s="75" customFormat="1" ht="14.6">
      <c r="A1403" s="90"/>
      <c r="B1403" s="90"/>
      <c r="C1403" s="89"/>
      <c r="D1403" s="91"/>
      <c r="E1403" s="77"/>
      <c r="M1403" s="133"/>
      <c r="N1403" s="135"/>
      <c r="O1403" s="133"/>
      <c r="P1403" s="136"/>
      <c r="Q1403" s="134"/>
      <c r="R1403" s="134"/>
      <c r="S1403" s="134"/>
    </row>
    <row r="1404" spans="1:19" s="75" customFormat="1" ht="14.6">
      <c r="A1404" s="90"/>
      <c r="B1404" s="90"/>
      <c r="C1404" s="89"/>
      <c r="D1404" s="91"/>
      <c r="E1404" s="77"/>
      <c r="M1404" s="133"/>
      <c r="N1404" s="135"/>
      <c r="O1404" s="133"/>
      <c r="P1404" s="136"/>
      <c r="Q1404" s="134"/>
      <c r="R1404" s="134"/>
      <c r="S1404" s="134"/>
    </row>
    <row r="1405" spans="1:19" s="75" customFormat="1" ht="14.6">
      <c r="A1405" s="90"/>
      <c r="B1405" s="90"/>
      <c r="C1405" s="89"/>
      <c r="D1405" s="91"/>
      <c r="E1405" s="77"/>
      <c r="M1405" s="133"/>
      <c r="N1405" s="135"/>
      <c r="O1405" s="133"/>
      <c r="P1405" s="136"/>
      <c r="Q1405" s="134"/>
      <c r="R1405" s="134"/>
      <c r="S1405" s="134"/>
    </row>
    <row r="1406" spans="1:19" s="75" customFormat="1" ht="14.6">
      <c r="A1406" s="90"/>
      <c r="B1406" s="90"/>
      <c r="C1406" s="89"/>
      <c r="D1406" s="91"/>
      <c r="E1406" s="77"/>
      <c r="M1406" s="133"/>
      <c r="N1406" s="135"/>
      <c r="O1406" s="133"/>
      <c r="P1406" s="136"/>
      <c r="Q1406" s="134"/>
      <c r="R1406" s="134"/>
      <c r="S1406" s="134"/>
    </row>
    <row r="1407" spans="1:19" s="75" customFormat="1" ht="14.6">
      <c r="A1407" s="90"/>
      <c r="B1407" s="90"/>
      <c r="C1407" s="89"/>
      <c r="D1407" s="91"/>
      <c r="E1407" s="77"/>
      <c r="M1407" s="133"/>
      <c r="N1407" s="135"/>
      <c r="O1407" s="133"/>
      <c r="P1407" s="136"/>
      <c r="Q1407" s="134"/>
      <c r="R1407" s="134"/>
      <c r="S1407" s="134"/>
    </row>
    <row r="1408" spans="1:19" s="75" customFormat="1" ht="14.6">
      <c r="A1408" s="90"/>
      <c r="B1408" s="90"/>
      <c r="C1408" s="89"/>
      <c r="D1408" s="91"/>
      <c r="E1408" s="77"/>
      <c r="M1408" s="133"/>
      <c r="N1408" s="135"/>
      <c r="O1408" s="133"/>
      <c r="P1408" s="136"/>
      <c r="Q1408" s="134"/>
      <c r="R1408" s="134"/>
      <c r="S1408" s="134"/>
    </row>
    <row r="1409" spans="1:19" s="75" customFormat="1" ht="14.6">
      <c r="A1409" s="90"/>
      <c r="B1409" s="90"/>
      <c r="C1409" s="89"/>
      <c r="D1409" s="91"/>
      <c r="E1409" s="77"/>
      <c r="M1409" s="133"/>
      <c r="N1409" s="135"/>
      <c r="O1409" s="133"/>
      <c r="P1409" s="136"/>
      <c r="Q1409" s="134"/>
      <c r="R1409" s="134"/>
      <c r="S1409" s="134"/>
    </row>
    <row r="1410" spans="1:19" s="75" customFormat="1" ht="14.6">
      <c r="A1410" s="90"/>
      <c r="B1410" s="90"/>
      <c r="C1410" s="89"/>
      <c r="D1410" s="91"/>
      <c r="E1410" s="77"/>
      <c r="M1410" s="133"/>
      <c r="N1410" s="135"/>
      <c r="O1410" s="133"/>
      <c r="P1410" s="136"/>
      <c r="Q1410" s="134"/>
      <c r="R1410" s="134"/>
      <c r="S1410" s="134"/>
    </row>
    <row r="1411" spans="1:19" s="75" customFormat="1" ht="14.6">
      <c r="A1411" s="90"/>
      <c r="B1411" s="90"/>
      <c r="C1411" s="89"/>
      <c r="D1411" s="91"/>
      <c r="E1411" s="77"/>
      <c r="M1411" s="133"/>
      <c r="N1411" s="135"/>
      <c r="O1411" s="133"/>
      <c r="P1411" s="136"/>
      <c r="Q1411" s="134"/>
      <c r="R1411" s="134"/>
      <c r="S1411" s="134"/>
    </row>
    <row r="1412" spans="1:19" s="75" customFormat="1" ht="14.6">
      <c r="A1412" s="90"/>
      <c r="B1412" s="90"/>
      <c r="C1412" s="89"/>
      <c r="D1412" s="91"/>
      <c r="E1412" s="77"/>
      <c r="M1412" s="133"/>
      <c r="N1412" s="135"/>
      <c r="O1412" s="133"/>
      <c r="P1412" s="136"/>
      <c r="Q1412" s="134"/>
      <c r="R1412" s="134"/>
      <c r="S1412" s="134"/>
    </row>
    <row r="1413" spans="1:19" s="75" customFormat="1" ht="14.6">
      <c r="A1413" s="90"/>
      <c r="B1413" s="90"/>
      <c r="C1413" s="89"/>
      <c r="D1413" s="91"/>
      <c r="E1413" s="77"/>
      <c r="M1413" s="133"/>
      <c r="N1413" s="135"/>
      <c r="O1413" s="133"/>
      <c r="P1413" s="136"/>
      <c r="Q1413" s="134"/>
      <c r="R1413" s="134"/>
      <c r="S1413" s="134"/>
    </row>
    <row r="1414" spans="1:19" s="75" customFormat="1" ht="14.6">
      <c r="A1414" s="90"/>
      <c r="B1414" s="90"/>
      <c r="C1414" s="89"/>
      <c r="D1414" s="91"/>
      <c r="E1414" s="77"/>
      <c r="M1414" s="133"/>
      <c r="N1414" s="135"/>
      <c r="O1414" s="133"/>
      <c r="P1414" s="136"/>
      <c r="Q1414" s="134"/>
      <c r="R1414" s="134"/>
      <c r="S1414" s="134"/>
    </row>
    <row r="1415" spans="1:19" s="75" customFormat="1" ht="14.6">
      <c r="A1415" s="90"/>
      <c r="B1415" s="90"/>
      <c r="C1415" s="89"/>
      <c r="D1415" s="91"/>
      <c r="E1415" s="77"/>
      <c r="M1415" s="133"/>
      <c r="N1415" s="135"/>
      <c r="O1415" s="133"/>
      <c r="P1415" s="136"/>
      <c r="Q1415" s="134"/>
      <c r="R1415" s="134"/>
      <c r="S1415" s="134"/>
    </row>
    <row r="1416" spans="1:19" s="75" customFormat="1" ht="14.6">
      <c r="A1416" s="90"/>
      <c r="B1416" s="90"/>
      <c r="C1416" s="89"/>
      <c r="D1416" s="91"/>
      <c r="E1416" s="77"/>
      <c r="M1416" s="133"/>
      <c r="N1416" s="135"/>
      <c r="O1416" s="133"/>
      <c r="P1416" s="136"/>
      <c r="Q1416" s="134"/>
      <c r="R1416" s="134"/>
      <c r="S1416" s="134"/>
    </row>
    <row r="1417" spans="1:19" s="75" customFormat="1" ht="14.6">
      <c r="A1417" s="90"/>
      <c r="B1417" s="90"/>
      <c r="C1417" s="89"/>
      <c r="D1417" s="91"/>
      <c r="E1417" s="77"/>
      <c r="M1417" s="133"/>
      <c r="N1417" s="135"/>
      <c r="O1417" s="133"/>
      <c r="P1417" s="136"/>
      <c r="Q1417" s="134"/>
      <c r="R1417" s="134"/>
      <c r="S1417" s="134"/>
    </row>
    <row r="1418" spans="1:19" s="75" customFormat="1" ht="14.6">
      <c r="A1418" s="90"/>
      <c r="B1418" s="90"/>
      <c r="C1418" s="89"/>
      <c r="D1418" s="91"/>
      <c r="E1418" s="77"/>
      <c r="M1418" s="133"/>
      <c r="N1418" s="135"/>
      <c r="O1418" s="133"/>
      <c r="P1418" s="136"/>
      <c r="Q1418" s="134"/>
      <c r="R1418" s="134"/>
      <c r="S1418" s="134"/>
    </row>
    <row r="1419" spans="1:19" s="75" customFormat="1" ht="14.6">
      <c r="A1419" s="90"/>
      <c r="B1419" s="90"/>
      <c r="C1419" s="89"/>
      <c r="D1419" s="91"/>
      <c r="E1419" s="77"/>
      <c r="M1419" s="133"/>
      <c r="N1419" s="135"/>
      <c r="O1419" s="133"/>
      <c r="P1419" s="136"/>
    </row>
    <row r="1420" spans="1:19" s="75" customFormat="1" ht="14.6">
      <c r="A1420" s="90"/>
      <c r="B1420" s="90"/>
      <c r="C1420" s="89"/>
      <c r="D1420" s="91"/>
      <c r="E1420" s="77"/>
      <c r="M1420" s="133"/>
      <c r="N1420" s="135"/>
      <c r="O1420" s="133"/>
      <c r="P1420" s="136"/>
    </row>
    <row r="1421" spans="1:19" s="75" customFormat="1" ht="14.6">
      <c r="A1421" s="90"/>
      <c r="B1421" s="90"/>
      <c r="C1421" s="89"/>
      <c r="D1421" s="91"/>
      <c r="E1421" s="77"/>
      <c r="M1421" s="133"/>
      <c r="N1421" s="135"/>
      <c r="O1421" s="133"/>
      <c r="P1421" s="136"/>
    </row>
    <row r="1422" spans="1:19" s="75" customFormat="1" ht="14.6">
      <c r="A1422" s="90"/>
      <c r="B1422" s="90"/>
      <c r="C1422" s="89"/>
      <c r="D1422" s="91"/>
      <c r="E1422" s="77"/>
      <c r="M1422" s="133"/>
      <c r="N1422" s="135"/>
      <c r="O1422" s="133"/>
      <c r="P1422" s="136"/>
    </row>
    <row r="1423" spans="1:19" s="75" customFormat="1" ht="14.6">
      <c r="A1423" s="90"/>
      <c r="B1423" s="90"/>
      <c r="C1423" s="89"/>
      <c r="D1423" s="91"/>
      <c r="E1423" s="77"/>
      <c r="M1423" s="133"/>
      <c r="N1423" s="135"/>
      <c r="O1423" s="133"/>
      <c r="P1423" s="136"/>
    </row>
    <row r="1424" spans="1:19" s="75" customFormat="1" ht="14.6">
      <c r="A1424" s="90"/>
      <c r="B1424" s="90"/>
      <c r="C1424" s="89"/>
      <c r="D1424" s="91"/>
      <c r="E1424" s="77"/>
      <c r="M1424" s="133"/>
      <c r="N1424" s="135"/>
      <c r="O1424" s="133"/>
      <c r="P1424" s="136"/>
    </row>
    <row r="1425" spans="1:16" s="75" customFormat="1" ht="14.6">
      <c r="A1425" s="90"/>
      <c r="B1425" s="90"/>
      <c r="C1425" s="89"/>
      <c r="D1425" s="91"/>
      <c r="E1425" s="77"/>
      <c r="M1425" s="133"/>
      <c r="N1425" s="135"/>
      <c r="O1425" s="133"/>
      <c r="P1425" s="136"/>
    </row>
    <row r="1426" spans="1:16" s="75" customFormat="1" ht="14.6">
      <c r="A1426" s="90"/>
      <c r="B1426" s="90"/>
      <c r="C1426" s="89"/>
      <c r="D1426" s="91"/>
      <c r="E1426" s="77"/>
      <c r="M1426" s="133"/>
      <c r="N1426" s="135"/>
      <c r="O1426" s="133"/>
      <c r="P1426" s="136"/>
    </row>
    <row r="1427" spans="1:16" s="75" customFormat="1" ht="14.6">
      <c r="A1427" s="90"/>
      <c r="B1427" s="90"/>
      <c r="C1427" s="89"/>
      <c r="D1427" s="91"/>
      <c r="E1427" s="77"/>
      <c r="M1427" s="133"/>
      <c r="N1427" s="135"/>
      <c r="O1427" s="133"/>
      <c r="P1427" s="136"/>
    </row>
    <row r="1428" spans="1:16" s="75" customFormat="1" ht="14.6">
      <c r="A1428" s="90"/>
      <c r="B1428" s="90"/>
      <c r="C1428" s="89"/>
      <c r="D1428" s="91"/>
      <c r="E1428" s="77"/>
      <c r="M1428" s="133"/>
      <c r="N1428" s="135"/>
      <c r="O1428" s="133"/>
      <c r="P1428" s="136"/>
    </row>
    <row r="1429" spans="1:16" s="75" customFormat="1" ht="14.6">
      <c r="A1429" s="90"/>
      <c r="B1429" s="90"/>
      <c r="C1429" s="89"/>
      <c r="D1429" s="91"/>
      <c r="E1429" s="77"/>
      <c r="M1429" s="133"/>
      <c r="N1429" s="135"/>
      <c r="O1429" s="133"/>
      <c r="P1429" s="136"/>
    </row>
    <row r="1430" spans="1:16" s="75" customFormat="1" ht="14.6">
      <c r="A1430" s="90"/>
      <c r="B1430" s="90"/>
      <c r="C1430" s="89"/>
      <c r="D1430" s="91"/>
      <c r="E1430" s="77"/>
      <c r="M1430" s="133"/>
      <c r="N1430" s="135"/>
      <c r="O1430" s="133"/>
      <c r="P1430" s="136"/>
    </row>
    <row r="1431" spans="1:16" s="75" customFormat="1" ht="14.6">
      <c r="A1431" s="90"/>
      <c r="B1431" s="90"/>
      <c r="C1431" s="89"/>
      <c r="D1431" s="91"/>
      <c r="E1431" s="77"/>
      <c r="M1431" s="133"/>
      <c r="N1431" s="135"/>
      <c r="O1431" s="133"/>
      <c r="P1431" s="136"/>
    </row>
    <row r="1432" spans="1:16" s="75" customFormat="1" ht="14.6">
      <c r="A1432" s="90"/>
      <c r="B1432" s="90"/>
      <c r="C1432" s="89"/>
      <c r="D1432" s="91"/>
      <c r="E1432" s="77"/>
      <c r="M1432" s="133"/>
      <c r="N1432" s="135"/>
      <c r="O1432" s="133"/>
      <c r="P1432" s="136"/>
    </row>
    <row r="1433" spans="1:16" s="75" customFormat="1" ht="14.6">
      <c r="A1433" s="90"/>
      <c r="B1433" s="90"/>
      <c r="C1433" s="89"/>
      <c r="D1433" s="91"/>
      <c r="E1433" s="77"/>
      <c r="M1433" s="133"/>
      <c r="N1433" s="135"/>
      <c r="O1433" s="133"/>
      <c r="P1433" s="136"/>
    </row>
    <row r="1434" spans="1:16" s="75" customFormat="1" ht="14.6">
      <c r="A1434" s="90"/>
      <c r="B1434" s="90"/>
      <c r="C1434" s="89"/>
      <c r="D1434" s="91"/>
      <c r="E1434" s="77"/>
      <c r="M1434" s="133"/>
      <c r="N1434" s="135"/>
      <c r="O1434" s="133"/>
      <c r="P1434" s="136"/>
    </row>
    <row r="1435" spans="1:16" s="75" customFormat="1" ht="14.6">
      <c r="A1435" s="90"/>
      <c r="B1435" s="90"/>
      <c r="C1435" s="89"/>
      <c r="D1435" s="91"/>
      <c r="E1435" s="77"/>
      <c r="M1435" s="133"/>
      <c r="N1435" s="135"/>
      <c r="O1435" s="133"/>
      <c r="P1435" s="136"/>
    </row>
    <row r="1436" spans="1:16" s="75" customFormat="1" ht="14.6">
      <c r="A1436" s="90"/>
      <c r="B1436" s="90"/>
      <c r="C1436" s="89"/>
      <c r="D1436" s="91"/>
      <c r="E1436" s="77"/>
      <c r="M1436" s="133"/>
      <c r="N1436" s="135"/>
      <c r="O1436" s="133"/>
      <c r="P1436" s="136"/>
    </row>
    <row r="1437" spans="1:16" s="75" customFormat="1" ht="14.6">
      <c r="A1437" s="90"/>
      <c r="B1437" s="90"/>
      <c r="C1437" s="89"/>
      <c r="D1437" s="91"/>
      <c r="E1437" s="77"/>
      <c r="M1437" s="133"/>
      <c r="N1437" s="135"/>
      <c r="O1437" s="133"/>
      <c r="P1437" s="136"/>
    </row>
    <row r="1438" spans="1:16" s="75" customFormat="1" ht="14.6">
      <c r="A1438" s="90"/>
      <c r="B1438" s="90"/>
      <c r="C1438" s="89"/>
      <c r="D1438" s="91"/>
      <c r="E1438" s="77"/>
      <c r="M1438" s="133"/>
      <c r="N1438" s="135"/>
      <c r="O1438" s="133"/>
      <c r="P1438" s="136"/>
    </row>
    <row r="1439" spans="1:16" s="75" customFormat="1" ht="14.6">
      <c r="A1439" s="90"/>
      <c r="B1439" s="90"/>
      <c r="C1439" s="89"/>
      <c r="D1439" s="91"/>
      <c r="E1439" s="77"/>
      <c r="M1439" s="133"/>
      <c r="N1439" s="135"/>
      <c r="O1439" s="133"/>
      <c r="P1439" s="136"/>
    </row>
    <row r="1440" spans="1:16" s="75" customFormat="1" ht="14.6">
      <c r="A1440" s="90"/>
      <c r="B1440" s="90"/>
      <c r="C1440" s="89"/>
      <c r="D1440" s="91"/>
      <c r="E1440" s="77"/>
      <c r="M1440" s="133"/>
      <c r="N1440" s="135"/>
      <c r="O1440" s="133"/>
      <c r="P1440" s="136"/>
    </row>
    <row r="1441" spans="1:16" s="75" customFormat="1" ht="14.6">
      <c r="A1441" s="90"/>
      <c r="B1441" s="90"/>
      <c r="C1441" s="89"/>
      <c r="D1441" s="91"/>
      <c r="E1441" s="77"/>
      <c r="M1441" s="133"/>
      <c r="N1441" s="135"/>
      <c r="O1441" s="133"/>
      <c r="P1441" s="136"/>
    </row>
    <row r="1442" spans="1:16" s="75" customFormat="1" ht="14.6">
      <c r="A1442" s="90"/>
      <c r="B1442" s="90"/>
      <c r="C1442" s="89"/>
      <c r="D1442" s="91"/>
      <c r="E1442" s="77"/>
      <c r="M1442" s="133"/>
      <c r="N1442" s="135"/>
      <c r="O1442" s="133"/>
      <c r="P1442" s="136"/>
    </row>
    <row r="1443" spans="1:16" s="75" customFormat="1" ht="14.6">
      <c r="A1443" s="90"/>
      <c r="B1443" s="90"/>
      <c r="C1443" s="89"/>
      <c r="D1443" s="91"/>
      <c r="E1443" s="77"/>
      <c r="M1443" s="133"/>
      <c r="N1443" s="135"/>
      <c r="O1443" s="133"/>
      <c r="P1443" s="136"/>
    </row>
    <row r="1444" spans="1:16" s="75" customFormat="1" ht="14.6">
      <c r="A1444" s="90"/>
      <c r="B1444" s="90"/>
      <c r="C1444" s="89"/>
      <c r="D1444" s="91"/>
      <c r="E1444" s="77"/>
      <c r="M1444" s="133"/>
      <c r="N1444" s="135"/>
      <c r="O1444" s="133"/>
      <c r="P1444" s="136"/>
    </row>
    <row r="1445" spans="1:16" s="75" customFormat="1" ht="14.6">
      <c r="A1445" s="90"/>
      <c r="B1445" s="90"/>
      <c r="C1445" s="89"/>
      <c r="D1445" s="91"/>
      <c r="E1445" s="77"/>
      <c r="M1445" s="133"/>
      <c r="N1445" s="135"/>
      <c r="O1445" s="133"/>
      <c r="P1445" s="136"/>
    </row>
    <row r="1446" spans="1:16" s="75" customFormat="1" ht="14.6">
      <c r="A1446" s="90"/>
      <c r="B1446" s="90"/>
      <c r="C1446" s="89"/>
      <c r="D1446" s="91"/>
      <c r="E1446" s="77"/>
      <c r="M1446" s="133"/>
      <c r="N1446" s="135"/>
      <c r="O1446" s="133"/>
      <c r="P1446" s="136"/>
    </row>
    <row r="1447" spans="1:16" s="75" customFormat="1" ht="14.6">
      <c r="A1447" s="90"/>
      <c r="B1447" s="90"/>
      <c r="C1447" s="89"/>
      <c r="D1447" s="91"/>
      <c r="E1447" s="77"/>
      <c r="M1447" s="133"/>
      <c r="N1447" s="135"/>
      <c r="O1447" s="133"/>
      <c r="P1447" s="136"/>
    </row>
    <row r="1448" spans="1:16" s="75" customFormat="1" ht="14.6">
      <c r="A1448" s="90"/>
      <c r="B1448" s="90"/>
      <c r="C1448" s="89"/>
      <c r="D1448" s="91"/>
      <c r="E1448" s="77"/>
      <c r="M1448" s="133"/>
      <c r="N1448" s="135"/>
      <c r="O1448" s="133"/>
      <c r="P1448" s="136"/>
    </row>
    <row r="1449" spans="1:16" s="75" customFormat="1" ht="14.6">
      <c r="A1449" s="90"/>
      <c r="B1449" s="90"/>
      <c r="C1449" s="89"/>
      <c r="D1449" s="91"/>
      <c r="E1449" s="77"/>
      <c r="M1449" s="133"/>
      <c r="N1449" s="135"/>
      <c r="O1449" s="133"/>
      <c r="P1449" s="136"/>
    </row>
    <row r="1450" spans="1:16" s="75" customFormat="1" ht="14.6">
      <c r="A1450" s="90"/>
      <c r="B1450" s="90"/>
      <c r="C1450" s="89"/>
      <c r="D1450" s="91"/>
      <c r="E1450" s="77"/>
      <c r="M1450" s="133"/>
      <c r="N1450" s="135"/>
      <c r="O1450" s="133"/>
      <c r="P1450" s="136"/>
    </row>
    <row r="1451" spans="1:16" s="75" customFormat="1" ht="14.6">
      <c r="A1451" s="90"/>
      <c r="B1451" s="90"/>
      <c r="C1451" s="89"/>
      <c r="D1451" s="91"/>
      <c r="E1451" s="77"/>
      <c r="M1451" s="133"/>
      <c r="N1451" s="135"/>
      <c r="O1451" s="133"/>
      <c r="P1451" s="136"/>
    </row>
    <row r="1452" spans="1:16" s="75" customFormat="1" ht="14.6">
      <c r="A1452" s="90"/>
      <c r="B1452" s="90"/>
      <c r="C1452" s="89"/>
      <c r="D1452" s="91"/>
      <c r="E1452" s="77"/>
      <c r="M1452" s="133"/>
      <c r="N1452" s="135"/>
      <c r="O1452" s="133"/>
      <c r="P1452" s="136"/>
    </row>
    <row r="1453" spans="1:16" s="75" customFormat="1" ht="14.6">
      <c r="A1453" s="90"/>
      <c r="B1453" s="90"/>
      <c r="C1453" s="89"/>
      <c r="D1453" s="91"/>
      <c r="E1453" s="77"/>
      <c r="M1453" s="133"/>
      <c r="N1453" s="135"/>
      <c r="O1453" s="133"/>
      <c r="P1453" s="136"/>
    </row>
    <row r="1454" spans="1:16" s="75" customFormat="1" ht="14.6">
      <c r="A1454" s="90"/>
      <c r="B1454" s="90"/>
      <c r="C1454" s="89"/>
      <c r="D1454" s="91"/>
      <c r="E1454" s="77"/>
      <c r="M1454" s="133"/>
      <c r="N1454" s="135"/>
      <c r="O1454" s="133"/>
      <c r="P1454" s="136"/>
    </row>
    <row r="1455" spans="1:16" s="75" customFormat="1" ht="14.6">
      <c r="A1455" s="90"/>
      <c r="B1455" s="90"/>
      <c r="C1455" s="89"/>
      <c r="D1455" s="91"/>
      <c r="E1455" s="77"/>
      <c r="M1455" s="133"/>
      <c r="N1455" s="135"/>
      <c r="O1455" s="133"/>
      <c r="P1455" s="136"/>
    </row>
    <row r="1456" spans="1:16" s="75" customFormat="1" ht="14.6">
      <c r="A1456" s="90"/>
      <c r="B1456" s="90"/>
      <c r="C1456" s="89"/>
      <c r="D1456" s="91"/>
      <c r="E1456" s="77"/>
      <c r="M1456" s="133"/>
      <c r="N1456" s="135"/>
      <c r="O1456" s="133"/>
      <c r="P1456" s="136"/>
    </row>
    <row r="1457" spans="1:16" s="75" customFormat="1" ht="14.6">
      <c r="A1457" s="90"/>
      <c r="B1457" s="90"/>
      <c r="C1457" s="89"/>
      <c r="D1457" s="91"/>
      <c r="E1457" s="77"/>
      <c r="M1457" s="133"/>
      <c r="N1457" s="135"/>
      <c r="O1457" s="133"/>
      <c r="P1457" s="136"/>
    </row>
    <row r="1458" spans="1:16" s="75" customFormat="1" ht="14.6">
      <c r="A1458" s="90"/>
      <c r="B1458" s="90"/>
      <c r="C1458" s="89"/>
      <c r="D1458" s="91"/>
      <c r="E1458" s="77"/>
      <c r="M1458" s="133"/>
      <c r="N1458" s="135"/>
      <c r="O1458" s="133"/>
      <c r="P1458" s="136"/>
    </row>
    <row r="1459" spans="1:16" s="75" customFormat="1" ht="14.6">
      <c r="A1459" s="90"/>
      <c r="B1459" s="90"/>
      <c r="C1459" s="89"/>
      <c r="D1459" s="91"/>
      <c r="E1459" s="77"/>
      <c r="M1459" s="133"/>
      <c r="N1459" s="135"/>
      <c r="O1459" s="133"/>
      <c r="P1459" s="136"/>
    </row>
    <row r="1460" spans="1:16" s="75" customFormat="1" ht="14.6">
      <c r="A1460" s="90"/>
      <c r="B1460" s="90"/>
      <c r="C1460" s="89"/>
      <c r="D1460" s="91"/>
      <c r="E1460" s="77"/>
      <c r="M1460" s="133"/>
      <c r="N1460" s="135"/>
      <c r="O1460" s="133"/>
      <c r="P1460" s="136"/>
    </row>
    <row r="1461" spans="1:16" s="75" customFormat="1" ht="14.6">
      <c r="A1461" s="90"/>
      <c r="B1461" s="90"/>
      <c r="C1461" s="89"/>
      <c r="D1461" s="91"/>
      <c r="E1461" s="77"/>
      <c r="M1461" s="133"/>
      <c r="N1461" s="135"/>
      <c r="O1461" s="133"/>
      <c r="P1461" s="136"/>
    </row>
    <row r="1462" spans="1:16" s="75" customFormat="1" ht="14.6">
      <c r="A1462" s="90"/>
      <c r="B1462" s="90"/>
      <c r="C1462" s="89"/>
      <c r="D1462" s="91"/>
      <c r="E1462" s="77"/>
      <c r="M1462" s="133"/>
      <c r="N1462" s="135"/>
      <c r="O1462" s="133"/>
      <c r="P1462" s="136"/>
    </row>
    <row r="1463" spans="1:16" s="75" customFormat="1">
      <c r="A1463" s="90"/>
      <c r="B1463" s="90"/>
      <c r="C1463" s="89"/>
      <c r="D1463" s="91"/>
      <c r="E1463" s="77"/>
    </row>
    <row r="1464" spans="1:16" s="75" customFormat="1">
      <c r="A1464" s="90"/>
      <c r="B1464" s="90"/>
      <c r="C1464" s="89"/>
      <c r="D1464" s="91"/>
      <c r="E1464" s="77"/>
    </row>
    <row r="1465" spans="1:16" s="75" customFormat="1">
      <c r="A1465" s="90"/>
      <c r="B1465" s="90"/>
      <c r="C1465" s="89"/>
      <c r="D1465" s="91"/>
      <c r="E1465" s="77"/>
    </row>
    <row r="1466" spans="1:16" s="75" customFormat="1">
      <c r="A1466" s="90"/>
      <c r="B1466" s="90"/>
      <c r="C1466" s="89"/>
      <c r="D1466" s="91"/>
      <c r="E1466" s="77"/>
    </row>
    <row r="1467" spans="1:16" s="75" customFormat="1">
      <c r="A1467" s="90"/>
      <c r="B1467" s="90"/>
      <c r="C1467" s="89"/>
      <c r="D1467" s="91"/>
      <c r="E1467" s="77"/>
    </row>
    <row r="1468" spans="1:16" s="75" customFormat="1">
      <c r="A1468" s="90"/>
      <c r="B1468" s="90"/>
      <c r="C1468" s="89"/>
      <c r="D1468" s="91"/>
      <c r="E1468" s="77"/>
    </row>
    <row r="1469" spans="1:16" s="75" customFormat="1">
      <c r="A1469" s="90"/>
      <c r="B1469" s="90"/>
      <c r="C1469" s="89"/>
      <c r="D1469" s="91"/>
      <c r="E1469" s="77"/>
    </row>
    <row r="1470" spans="1:16" s="75" customFormat="1">
      <c r="A1470" s="90"/>
      <c r="B1470" s="90"/>
      <c r="C1470" s="89"/>
      <c r="D1470" s="91"/>
      <c r="E1470" s="77"/>
    </row>
    <row r="1471" spans="1:16" s="75" customFormat="1">
      <c r="A1471" s="90"/>
      <c r="B1471" s="90"/>
      <c r="C1471" s="89"/>
      <c r="D1471" s="91"/>
      <c r="E1471" s="77"/>
    </row>
    <row r="1472" spans="1:16" s="75" customFormat="1">
      <c r="A1472" s="90"/>
      <c r="B1472" s="90"/>
      <c r="C1472" s="89"/>
      <c r="D1472" s="91"/>
      <c r="E1472" s="77"/>
    </row>
    <row r="1473" spans="1:5" s="75" customFormat="1">
      <c r="A1473" s="90"/>
      <c r="B1473" s="90"/>
      <c r="C1473" s="89"/>
      <c r="D1473" s="91"/>
      <c r="E1473" s="77"/>
    </row>
    <row r="1474" spans="1:5" s="75" customFormat="1">
      <c r="A1474" s="90"/>
      <c r="B1474" s="90"/>
      <c r="C1474" s="89"/>
      <c r="D1474" s="91"/>
      <c r="E1474" s="77"/>
    </row>
    <row r="1475" spans="1:5" s="75" customFormat="1">
      <c r="A1475" s="90"/>
      <c r="B1475" s="90"/>
      <c r="C1475" s="89"/>
      <c r="D1475" s="91"/>
      <c r="E1475" s="77"/>
    </row>
    <row r="1476" spans="1:5" s="75" customFormat="1">
      <c r="A1476" s="90"/>
      <c r="B1476" s="90"/>
      <c r="C1476" s="89"/>
      <c r="D1476" s="91"/>
      <c r="E1476" s="77"/>
    </row>
    <row r="1477" spans="1:5" s="75" customFormat="1">
      <c r="A1477" s="90"/>
      <c r="B1477" s="90"/>
      <c r="C1477" s="89"/>
      <c r="D1477" s="91"/>
      <c r="E1477" s="77"/>
    </row>
    <row r="1478" spans="1:5" s="75" customFormat="1">
      <c r="A1478" s="90"/>
      <c r="B1478" s="90"/>
      <c r="C1478" s="89"/>
      <c r="D1478" s="91"/>
      <c r="E1478" s="77"/>
    </row>
    <row r="1479" spans="1:5" s="75" customFormat="1">
      <c r="A1479" s="90"/>
      <c r="B1479" s="90"/>
      <c r="C1479" s="89"/>
      <c r="D1479" s="91"/>
      <c r="E1479" s="77"/>
    </row>
    <row r="1480" spans="1:5" s="75" customFormat="1">
      <c r="A1480" s="90"/>
      <c r="B1480" s="90"/>
      <c r="C1480" s="89"/>
      <c r="D1480" s="91"/>
      <c r="E1480" s="77"/>
    </row>
    <row r="1481" spans="1:5" s="75" customFormat="1">
      <c r="A1481" s="90"/>
      <c r="B1481" s="90"/>
      <c r="C1481" s="89"/>
      <c r="D1481" s="91"/>
      <c r="E1481" s="77"/>
    </row>
    <row r="1482" spans="1:5" s="75" customFormat="1">
      <c r="A1482" s="90"/>
      <c r="B1482" s="90"/>
      <c r="C1482" s="89"/>
      <c r="D1482" s="91"/>
      <c r="E1482" s="77"/>
    </row>
    <row r="1483" spans="1:5" s="75" customFormat="1">
      <c r="A1483" s="90"/>
      <c r="B1483" s="90"/>
      <c r="C1483" s="89"/>
      <c r="D1483" s="91"/>
      <c r="E1483" s="77"/>
    </row>
    <row r="1484" spans="1:5" s="75" customFormat="1">
      <c r="A1484" s="90"/>
      <c r="B1484" s="90"/>
      <c r="C1484" s="89"/>
      <c r="D1484" s="91"/>
      <c r="E1484" s="77"/>
    </row>
    <row r="1485" spans="1:5" s="75" customFormat="1">
      <c r="A1485" s="90"/>
      <c r="B1485" s="90"/>
      <c r="C1485" s="89"/>
      <c r="D1485" s="91"/>
      <c r="E1485" s="77"/>
    </row>
    <row r="1486" spans="1:5" s="75" customFormat="1">
      <c r="A1486" s="90"/>
      <c r="B1486" s="90"/>
      <c r="C1486" s="89"/>
      <c r="D1486" s="91"/>
      <c r="E1486" s="77"/>
    </row>
    <row r="1487" spans="1:5" s="75" customFormat="1">
      <c r="A1487" s="90"/>
      <c r="B1487" s="90"/>
      <c r="C1487" s="89"/>
      <c r="D1487" s="91"/>
      <c r="E1487" s="77"/>
    </row>
    <row r="1488" spans="1:5" s="75" customFormat="1">
      <c r="A1488" s="90"/>
      <c r="B1488" s="90"/>
      <c r="C1488" s="89"/>
      <c r="D1488" s="91"/>
      <c r="E1488" s="77"/>
    </row>
    <row r="1489" spans="1:5" s="75" customFormat="1">
      <c r="A1489" s="90"/>
      <c r="B1489" s="90"/>
      <c r="C1489" s="89"/>
      <c r="D1489" s="91"/>
      <c r="E1489" s="77"/>
    </row>
    <row r="1490" spans="1:5" s="75" customFormat="1">
      <c r="A1490" s="90"/>
      <c r="B1490" s="90"/>
      <c r="C1490" s="89"/>
      <c r="D1490" s="91"/>
      <c r="E1490" s="77"/>
    </row>
    <row r="1491" spans="1:5" s="75" customFormat="1">
      <c r="A1491" s="90"/>
      <c r="B1491" s="90"/>
      <c r="C1491" s="89"/>
      <c r="D1491" s="91"/>
      <c r="E1491" s="77"/>
    </row>
    <row r="1492" spans="1:5" s="75" customFormat="1">
      <c r="A1492" s="90"/>
      <c r="B1492" s="90"/>
      <c r="C1492" s="89"/>
      <c r="D1492" s="91"/>
      <c r="E1492" s="77"/>
    </row>
    <row r="1493" spans="1:5" s="75" customFormat="1">
      <c r="A1493" s="90"/>
      <c r="B1493" s="90"/>
      <c r="C1493" s="89"/>
      <c r="D1493" s="91"/>
      <c r="E1493" s="77"/>
    </row>
    <row r="1494" spans="1:5" s="75" customFormat="1">
      <c r="A1494" s="90"/>
      <c r="B1494" s="90"/>
      <c r="C1494" s="89"/>
      <c r="D1494" s="91"/>
      <c r="E1494" s="77"/>
    </row>
    <row r="1495" spans="1:5" s="75" customFormat="1">
      <c r="A1495" s="90"/>
      <c r="B1495" s="90"/>
      <c r="C1495" s="89"/>
      <c r="D1495" s="91"/>
      <c r="E1495" s="77"/>
    </row>
    <row r="1496" spans="1:5" s="75" customFormat="1">
      <c r="A1496" s="90"/>
      <c r="B1496" s="90"/>
      <c r="C1496" s="89"/>
      <c r="D1496" s="91"/>
      <c r="E1496" s="77"/>
    </row>
    <row r="1497" spans="1:5" s="75" customFormat="1">
      <c r="A1497" s="90"/>
      <c r="B1497" s="90"/>
      <c r="C1497" s="89"/>
      <c r="D1497" s="91"/>
      <c r="E1497" s="77"/>
    </row>
    <row r="1498" spans="1:5" s="75" customFormat="1">
      <c r="A1498" s="90"/>
      <c r="B1498" s="90"/>
      <c r="C1498" s="89"/>
      <c r="D1498" s="91"/>
      <c r="E1498" s="77"/>
    </row>
    <row r="1499" spans="1:5" s="75" customFormat="1">
      <c r="A1499" s="90"/>
      <c r="B1499" s="90"/>
      <c r="C1499" s="89"/>
      <c r="D1499" s="91"/>
      <c r="E1499" s="77"/>
    </row>
    <row r="1500" spans="1:5" s="75" customFormat="1">
      <c r="A1500" s="90"/>
      <c r="B1500" s="90"/>
      <c r="C1500" s="89"/>
      <c r="D1500" s="91"/>
      <c r="E1500" s="77"/>
    </row>
    <row r="1501" spans="1:5" s="75" customFormat="1">
      <c r="A1501" s="90"/>
      <c r="B1501" s="90"/>
      <c r="C1501" s="89"/>
      <c r="D1501" s="91"/>
      <c r="E1501" s="77"/>
    </row>
    <row r="1502" spans="1:5" s="75" customFormat="1">
      <c r="A1502" s="90"/>
      <c r="B1502" s="90"/>
      <c r="C1502" s="89"/>
      <c r="D1502" s="91"/>
      <c r="E1502" s="77"/>
    </row>
    <row r="1503" spans="1:5" s="75" customFormat="1">
      <c r="A1503" s="90"/>
      <c r="B1503" s="90"/>
      <c r="C1503" s="89"/>
      <c r="D1503" s="91"/>
      <c r="E1503" s="77"/>
    </row>
    <row r="1504" spans="1:5" s="75" customFormat="1">
      <c r="A1504" s="90"/>
      <c r="B1504" s="90"/>
      <c r="C1504" s="89"/>
      <c r="D1504" s="91"/>
      <c r="E1504" s="77"/>
    </row>
    <row r="1505" spans="1:5" s="75" customFormat="1">
      <c r="A1505" s="90"/>
      <c r="B1505" s="90"/>
      <c r="C1505" s="89"/>
      <c r="D1505" s="91"/>
      <c r="E1505" s="77"/>
    </row>
    <row r="1506" spans="1:5" s="75" customFormat="1">
      <c r="A1506" s="90"/>
      <c r="B1506" s="90"/>
      <c r="C1506" s="89"/>
      <c r="D1506" s="91"/>
      <c r="E1506" s="77"/>
    </row>
    <row r="1507" spans="1:5" s="75" customFormat="1">
      <c r="A1507" s="90"/>
      <c r="B1507" s="90"/>
      <c r="C1507" s="89"/>
      <c r="D1507" s="91"/>
      <c r="E1507" s="77"/>
    </row>
    <row r="1508" spans="1:5" s="75" customFormat="1">
      <c r="A1508" s="90"/>
      <c r="B1508" s="90"/>
      <c r="C1508" s="89"/>
      <c r="D1508" s="91"/>
      <c r="E1508" s="77"/>
    </row>
    <row r="1509" spans="1:5" s="75" customFormat="1">
      <c r="A1509" s="90"/>
      <c r="B1509" s="90"/>
      <c r="C1509" s="89"/>
      <c r="D1509" s="91"/>
      <c r="E1509" s="77"/>
    </row>
    <row r="1510" spans="1:5" s="75" customFormat="1">
      <c r="A1510" s="90"/>
      <c r="B1510" s="90"/>
      <c r="C1510" s="89"/>
      <c r="D1510" s="91"/>
      <c r="E1510" s="77"/>
    </row>
    <row r="1511" spans="1:5" s="75" customFormat="1">
      <c r="A1511" s="90"/>
      <c r="B1511" s="90"/>
      <c r="C1511" s="89"/>
      <c r="D1511" s="91"/>
      <c r="E1511" s="77"/>
    </row>
    <row r="1512" spans="1:5" s="75" customFormat="1">
      <c r="A1512" s="90"/>
      <c r="B1512" s="90"/>
      <c r="C1512" s="89"/>
      <c r="D1512" s="91"/>
      <c r="E1512" s="77"/>
    </row>
    <row r="1513" spans="1:5" s="75" customFormat="1">
      <c r="A1513" s="90"/>
      <c r="B1513" s="90"/>
      <c r="C1513" s="89"/>
      <c r="D1513" s="91"/>
      <c r="E1513" s="77"/>
    </row>
    <row r="1514" spans="1:5" s="75" customFormat="1">
      <c r="A1514" s="90"/>
      <c r="B1514" s="90"/>
      <c r="C1514" s="89"/>
      <c r="D1514" s="91"/>
      <c r="E1514" s="77"/>
    </row>
    <row r="1515" spans="1:5" s="75" customFormat="1">
      <c r="A1515" s="90"/>
      <c r="B1515" s="90"/>
      <c r="C1515" s="89"/>
      <c r="D1515" s="91"/>
      <c r="E1515" s="77"/>
    </row>
    <row r="1516" spans="1:5" s="75" customFormat="1">
      <c r="A1516" s="90"/>
      <c r="B1516" s="90"/>
      <c r="C1516" s="89"/>
      <c r="D1516" s="91"/>
      <c r="E1516" s="77"/>
    </row>
    <row r="1517" spans="1:5" s="75" customFormat="1">
      <c r="A1517" s="90"/>
      <c r="B1517" s="90"/>
      <c r="C1517" s="89"/>
      <c r="D1517" s="91"/>
      <c r="E1517" s="77"/>
    </row>
    <row r="1518" spans="1:5" s="75" customFormat="1">
      <c r="A1518" s="90"/>
      <c r="B1518" s="90"/>
      <c r="C1518" s="89"/>
      <c r="D1518" s="91"/>
      <c r="E1518" s="77"/>
    </row>
    <row r="1519" spans="1:5" s="75" customFormat="1">
      <c r="A1519" s="90"/>
      <c r="B1519" s="90"/>
      <c r="C1519" s="89"/>
      <c r="D1519" s="91"/>
      <c r="E1519" s="77"/>
    </row>
    <row r="1520" spans="1:5" s="75" customFormat="1">
      <c r="A1520" s="90"/>
      <c r="B1520" s="90"/>
      <c r="C1520" s="89"/>
      <c r="D1520" s="91"/>
      <c r="E1520" s="77"/>
    </row>
    <row r="1521" spans="1:5" s="75" customFormat="1">
      <c r="A1521" s="90"/>
      <c r="B1521" s="90"/>
      <c r="C1521" s="89"/>
      <c r="D1521" s="91"/>
      <c r="E1521" s="77"/>
    </row>
    <row r="1522" spans="1:5" s="75" customFormat="1">
      <c r="A1522" s="90"/>
      <c r="B1522" s="90"/>
      <c r="C1522" s="89"/>
      <c r="D1522" s="91"/>
      <c r="E1522" s="77"/>
    </row>
    <row r="1523" spans="1:5" s="75" customFormat="1">
      <c r="A1523" s="90"/>
      <c r="B1523" s="90"/>
      <c r="C1523" s="89"/>
      <c r="D1523" s="91"/>
      <c r="E1523" s="77"/>
    </row>
    <row r="1524" spans="1:5" s="75" customFormat="1">
      <c r="A1524" s="90"/>
      <c r="B1524" s="90"/>
      <c r="C1524" s="89"/>
      <c r="D1524" s="91"/>
      <c r="E1524" s="77"/>
    </row>
    <row r="1525" spans="1:5" s="75" customFormat="1">
      <c r="A1525" s="90"/>
      <c r="B1525" s="90"/>
      <c r="C1525" s="89"/>
      <c r="D1525" s="91"/>
      <c r="E1525" s="77"/>
    </row>
    <row r="1526" spans="1:5" s="75" customFormat="1">
      <c r="A1526" s="90"/>
      <c r="B1526" s="90"/>
      <c r="C1526" s="89"/>
      <c r="D1526" s="91"/>
      <c r="E1526" s="77"/>
    </row>
    <row r="1527" spans="1:5" s="75" customFormat="1">
      <c r="A1527" s="90"/>
      <c r="B1527" s="90"/>
      <c r="C1527" s="89"/>
      <c r="D1527" s="91"/>
      <c r="E1527" s="77"/>
    </row>
    <row r="1528" spans="1:5" s="75" customFormat="1">
      <c r="A1528" s="90"/>
      <c r="B1528" s="90"/>
      <c r="C1528" s="89"/>
      <c r="D1528" s="91"/>
      <c r="E1528" s="77"/>
    </row>
    <row r="1529" spans="1:5" s="75" customFormat="1">
      <c r="A1529" s="90"/>
      <c r="B1529" s="90"/>
      <c r="C1529" s="89"/>
      <c r="D1529" s="91"/>
      <c r="E1529" s="77"/>
    </row>
    <row r="1530" spans="1:5" s="75" customFormat="1">
      <c r="A1530" s="90"/>
      <c r="B1530" s="90"/>
      <c r="C1530" s="89"/>
      <c r="D1530" s="91"/>
      <c r="E1530" s="77"/>
    </row>
    <row r="1531" spans="1:5" s="75" customFormat="1">
      <c r="A1531" s="90"/>
      <c r="B1531" s="90"/>
      <c r="C1531" s="89"/>
      <c r="D1531" s="91"/>
      <c r="E1531" s="77"/>
    </row>
    <row r="1532" spans="1:5" s="75" customFormat="1">
      <c r="A1532" s="90"/>
      <c r="B1532" s="90"/>
      <c r="C1532" s="89"/>
      <c r="D1532" s="91"/>
      <c r="E1532" s="77"/>
    </row>
    <row r="1533" spans="1:5" s="75" customFormat="1">
      <c r="A1533" s="90"/>
      <c r="B1533" s="90"/>
      <c r="C1533" s="89"/>
      <c r="D1533" s="91"/>
      <c r="E1533" s="77"/>
    </row>
    <row r="1534" spans="1:5" s="75" customFormat="1">
      <c r="A1534" s="90"/>
      <c r="B1534" s="90"/>
      <c r="C1534" s="89"/>
      <c r="D1534" s="91"/>
      <c r="E1534" s="77"/>
    </row>
    <row r="1535" spans="1:5" s="75" customFormat="1">
      <c r="A1535" s="90"/>
      <c r="B1535" s="90"/>
      <c r="C1535" s="89"/>
      <c r="D1535" s="91"/>
      <c r="E1535" s="77"/>
    </row>
    <row r="1536" spans="1:5" s="75" customFormat="1">
      <c r="A1536" s="90"/>
      <c r="B1536" s="90"/>
      <c r="C1536" s="89"/>
      <c r="D1536" s="91"/>
      <c r="E1536" s="77"/>
    </row>
    <row r="1537" spans="1:5" s="75" customFormat="1">
      <c r="A1537" s="90"/>
      <c r="B1537" s="90"/>
      <c r="C1537" s="89"/>
      <c r="D1537" s="91"/>
      <c r="E1537" s="77"/>
    </row>
    <row r="1538" spans="1:5" s="75" customFormat="1">
      <c r="A1538" s="90"/>
      <c r="B1538" s="90"/>
      <c r="C1538" s="89"/>
      <c r="D1538" s="91"/>
      <c r="E1538" s="77"/>
    </row>
    <row r="1539" spans="1:5" s="75" customFormat="1">
      <c r="A1539" s="90"/>
      <c r="B1539" s="90"/>
      <c r="C1539" s="89"/>
      <c r="D1539" s="91"/>
      <c r="E1539" s="77"/>
    </row>
    <row r="1540" spans="1:5" s="75" customFormat="1">
      <c r="A1540" s="90"/>
      <c r="B1540" s="90"/>
      <c r="C1540" s="89"/>
      <c r="D1540" s="91"/>
      <c r="E1540" s="77"/>
    </row>
    <row r="1541" spans="1:5" s="75" customFormat="1">
      <c r="A1541" s="90"/>
      <c r="B1541" s="90"/>
      <c r="C1541" s="89"/>
      <c r="D1541" s="91"/>
      <c r="E1541" s="77"/>
    </row>
    <row r="1542" spans="1:5" s="75" customFormat="1">
      <c r="A1542" s="90"/>
      <c r="B1542" s="90"/>
      <c r="C1542" s="89"/>
      <c r="D1542" s="91"/>
      <c r="E1542" s="77"/>
    </row>
    <row r="1543" spans="1:5" s="75" customFormat="1">
      <c r="A1543" s="90"/>
      <c r="B1543" s="90"/>
      <c r="C1543" s="89"/>
      <c r="D1543" s="91"/>
      <c r="E1543" s="77"/>
    </row>
    <row r="1544" spans="1:5" s="75" customFormat="1">
      <c r="A1544" s="90"/>
      <c r="B1544" s="90"/>
      <c r="C1544" s="89"/>
      <c r="D1544" s="91"/>
      <c r="E1544" s="77"/>
    </row>
    <row r="1545" spans="1:5" s="75" customFormat="1">
      <c r="A1545" s="90"/>
      <c r="B1545" s="90"/>
      <c r="C1545" s="89"/>
      <c r="D1545" s="91"/>
      <c r="E1545" s="77"/>
    </row>
    <row r="1546" spans="1:5" s="75" customFormat="1">
      <c r="A1546" s="90"/>
      <c r="B1546" s="90"/>
      <c r="C1546" s="89"/>
      <c r="D1546" s="91"/>
      <c r="E1546" s="77"/>
    </row>
    <row r="1547" spans="1:5" s="75" customFormat="1">
      <c r="A1547" s="90"/>
      <c r="B1547" s="90"/>
      <c r="C1547" s="89"/>
      <c r="D1547" s="91"/>
      <c r="E1547" s="77"/>
    </row>
    <row r="1548" spans="1:5" s="75" customFormat="1">
      <c r="A1548" s="90"/>
      <c r="B1548" s="90"/>
      <c r="C1548" s="89"/>
      <c r="D1548" s="91"/>
      <c r="E1548" s="77"/>
    </row>
    <row r="1549" spans="1:5" s="75" customFormat="1">
      <c r="A1549" s="90"/>
      <c r="B1549" s="90"/>
      <c r="C1549" s="89"/>
      <c r="D1549" s="91"/>
      <c r="E1549" s="77"/>
    </row>
    <row r="1550" spans="1:5" s="75" customFormat="1">
      <c r="A1550" s="90"/>
      <c r="B1550" s="90"/>
      <c r="C1550" s="89"/>
      <c r="D1550" s="91"/>
      <c r="E1550" s="77"/>
    </row>
    <row r="1551" spans="1:5" s="75" customFormat="1">
      <c r="A1551" s="90"/>
      <c r="B1551" s="90"/>
      <c r="C1551" s="89"/>
      <c r="D1551" s="91"/>
      <c r="E1551" s="77"/>
    </row>
    <row r="1552" spans="1:5" s="75" customFormat="1">
      <c r="A1552" s="90"/>
      <c r="B1552" s="90"/>
      <c r="C1552" s="89"/>
      <c r="D1552" s="91"/>
      <c r="E1552" s="77"/>
    </row>
    <row r="1553" spans="1:5" s="75" customFormat="1">
      <c r="A1553" s="90"/>
      <c r="B1553" s="90"/>
      <c r="C1553" s="89"/>
      <c r="D1553" s="91"/>
      <c r="E1553" s="77"/>
    </row>
    <row r="1554" spans="1:5" s="75" customFormat="1">
      <c r="A1554" s="90"/>
      <c r="B1554" s="90"/>
      <c r="C1554" s="89"/>
      <c r="D1554" s="91"/>
      <c r="E1554" s="77"/>
    </row>
    <row r="1555" spans="1:5" s="75" customFormat="1">
      <c r="A1555" s="90"/>
      <c r="B1555" s="90"/>
      <c r="C1555" s="89"/>
      <c r="D1555" s="91"/>
      <c r="E1555" s="77"/>
    </row>
    <row r="1556" spans="1:5" s="75" customFormat="1">
      <c r="A1556" s="90"/>
      <c r="B1556" s="90"/>
      <c r="C1556" s="89"/>
      <c r="D1556" s="91"/>
      <c r="E1556" s="77"/>
    </row>
    <row r="1557" spans="1:5" s="75" customFormat="1">
      <c r="A1557" s="90"/>
      <c r="B1557" s="90"/>
      <c r="C1557" s="89"/>
      <c r="D1557" s="91"/>
      <c r="E1557" s="77"/>
    </row>
    <row r="1558" spans="1:5" s="75" customFormat="1">
      <c r="A1558" s="90"/>
      <c r="B1558" s="90"/>
      <c r="C1558" s="89"/>
      <c r="D1558" s="91"/>
      <c r="E1558" s="77"/>
    </row>
    <row r="1559" spans="1:5" s="75" customFormat="1">
      <c r="A1559" s="90"/>
      <c r="B1559" s="90"/>
      <c r="C1559" s="89"/>
      <c r="D1559" s="91"/>
      <c r="E1559" s="77"/>
    </row>
    <row r="1560" spans="1:5" s="75" customFormat="1">
      <c r="A1560" s="90"/>
      <c r="B1560" s="90"/>
      <c r="C1560" s="89"/>
      <c r="D1560" s="91"/>
      <c r="E1560" s="77"/>
    </row>
    <row r="1561" spans="1:5" s="75" customFormat="1">
      <c r="A1561" s="90"/>
      <c r="B1561" s="90"/>
      <c r="C1561" s="89"/>
      <c r="D1561" s="91"/>
      <c r="E1561" s="77"/>
    </row>
    <row r="1562" spans="1:5" s="75" customFormat="1">
      <c r="A1562" s="90"/>
      <c r="B1562" s="90"/>
      <c r="C1562" s="89"/>
      <c r="D1562" s="91"/>
      <c r="E1562" s="77"/>
    </row>
    <row r="1563" spans="1:5" s="75" customFormat="1">
      <c r="A1563" s="90"/>
      <c r="B1563" s="90"/>
      <c r="C1563" s="89"/>
      <c r="D1563" s="91"/>
      <c r="E1563" s="77"/>
    </row>
    <row r="1564" spans="1:5" s="75" customFormat="1">
      <c r="A1564" s="90"/>
      <c r="B1564" s="90"/>
      <c r="C1564" s="89"/>
      <c r="D1564" s="91"/>
      <c r="E1564" s="77"/>
    </row>
    <row r="1565" spans="1:5" s="75" customFormat="1">
      <c r="A1565" s="90"/>
      <c r="B1565" s="90"/>
      <c r="C1565" s="89"/>
      <c r="D1565" s="91"/>
      <c r="E1565" s="77"/>
    </row>
    <row r="1566" spans="1:5" s="75" customFormat="1">
      <c r="A1566" s="90"/>
      <c r="B1566" s="90"/>
      <c r="C1566" s="89"/>
      <c r="D1566" s="91"/>
      <c r="E1566" s="77"/>
    </row>
    <row r="1567" spans="1:5" s="75" customFormat="1">
      <c r="A1567" s="90"/>
      <c r="B1567" s="90"/>
      <c r="C1567" s="89"/>
      <c r="D1567" s="91"/>
      <c r="E1567" s="77"/>
    </row>
    <row r="1568" spans="1:5" s="75" customFormat="1">
      <c r="A1568" s="90"/>
      <c r="B1568" s="90"/>
      <c r="C1568" s="89"/>
      <c r="D1568" s="91"/>
      <c r="E1568" s="77"/>
    </row>
    <row r="1569" spans="1:5" s="75" customFormat="1">
      <c r="A1569" s="90"/>
      <c r="B1569" s="90"/>
      <c r="C1569" s="89"/>
      <c r="D1569" s="91"/>
      <c r="E1569" s="77"/>
    </row>
    <row r="1570" spans="1:5" s="75" customFormat="1">
      <c r="A1570" s="90"/>
      <c r="B1570" s="90"/>
      <c r="C1570" s="89"/>
      <c r="D1570" s="91"/>
      <c r="E1570" s="77"/>
    </row>
    <row r="1571" spans="1:5" s="75" customFormat="1">
      <c r="A1571" s="90"/>
      <c r="B1571" s="90"/>
      <c r="C1571" s="89"/>
      <c r="D1571" s="91"/>
      <c r="E1571" s="77"/>
    </row>
    <row r="1572" spans="1:5" s="75" customFormat="1">
      <c r="A1572" s="90"/>
      <c r="B1572" s="90"/>
      <c r="C1572" s="89"/>
      <c r="D1572" s="91"/>
      <c r="E1572" s="77"/>
    </row>
    <row r="1573" spans="1:5" s="75" customFormat="1">
      <c r="A1573" s="90"/>
      <c r="B1573" s="90"/>
      <c r="C1573" s="89"/>
      <c r="D1573" s="91"/>
      <c r="E1573" s="77"/>
    </row>
    <row r="1574" spans="1:5" s="75" customFormat="1">
      <c r="A1574" s="90"/>
      <c r="B1574" s="90"/>
      <c r="C1574" s="89"/>
      <c r="D1574" s="91"/>
      <c r="E1574" s="77"/>
    </row>
    <row r="1575" spans="1:5" s="75" customFormat="1">
      <c r="A1575" s="90"/>
      <c r="B1575" s="90"/>
      <c r="C1575" s="89"/>
      <c r="D1575" s="91"/>
      <c r="E1575" s="77"/>
    </row>
    <row r="1576" spans="1:5" s="75" customFormat="1">
      <c r="A1576" s="90"/>
      <c r="B1576" s="90"/>
      <c r="C1576" s="89"/>
      <c r="D1576" s="91"/>
      <c r="E1576" s="77"/>
    </row>
    <row r="1577" spans="1:5" s="75" customFormat="1">
      <c r="A1577" s="90"/>
      <c r="B1577" s="90"/>
      <c r="C1577" s="89"/>
      <c r="D1577" s="91"/>
      <c r="E1577" s="77"/>
    </row>
    <row r="1578" spans="1:5" s="75" customFormat="1">
      <c r="A1578" s="90"/>
      <c r="B1578" s="90"/>
      <c r="C1578" s="89"/>
      <c r="D1578" s="91"/>
      <c r="E1578" s="77"/>
    </row>
    <row r="1579" spans="1:5" s="75" customFormat="1">
      <c r="A1579" s="90"/>
      <c r="B1579" s="90"/>
      <c r="C1579" s="89"/>
      <c r="D1579" s="91"/>
      <c r="E1579" s="77"/>
    </row>
    <row r="1580" spans="1:5" s="75" customFormat="1">
      <c r="A1580" s="90"/>
      <c r="B1580" s="90"/>
      <c r="C1580" s="89"/>
      <c r="D1580" s="91"/>
      <c r="E1580" s="77"/>
    </row>
    <row r="1581" spans="1:5" s="75" customFormat="1">
      <c r="A1581" s="90"/>
      <c r="B1581" s="90"/>
      <c r="C1581" s="89"/>
      <c r="D1581" s="91"/>
      <c r="E1581" s="77"/>
    </row>
    <row r="1582" spans="1:5" s="75" customFormat="1">
      <c r="A1582" s="90"/>
      <c r="B1582" s="90"/>
      <c r="C1582" s="89"/>
      <c r="D1582" s="91"/>
      <c r="E1582" s="77"/>
    </row>
    <row r="1583" spans="1:5" s="75" customFormat="1">
      <c r="A1583" s="90"/>
      <c r="B1583" s="90"/>
      <c r="C1583" s="89"/>
      <c r="D1583" s="91"/>
      <c r="E1583" s="77"/>
    </row>
    <row r="1584" spans="1:5" s="75" customFormat="1">
      <c r="A1584" s="90"/>
      <c r="B1584" s="90"/>
      <c r="C1584" s="89"/>
      <c r="D1584" s="91"/>
      <c r="E1584" s="77"/>
    </row>
    <row r="1585" spans="1:5" s="75" customFormat="1">
      <c r="A1585" s="90"/>
      <c r="B1585" s="90"/>
      <c r="C1585" s="89"/>
      <c r="D1585" s="91"/>
      <c r="E1585" s="77"/>
    </row>
    <row r="1586" spans="1:5" s="75" customFormat="1">
      <c r="A1586" s="90"/>
      <c r="B1586" s="90"/>
      <c r="C1586" s="89"/>
      <c r="D1586" s="91"/>
      <c r="E1586" s="77"/>
    </row>
    <row r="1587" spans="1:5" s="75" customFormat="1">
      <c r="A1587" s="90"/>
      <c r="B1587" s="90"/>
      <c r="C1587" s="89"/>
      <c r="D1587" s="91"/>
      <c r="E1587" s="77"/>
    </row>
    <row r="1588" spans="1:5" s="75" customFormat="1">
      <c r="A1588" s="90"/>
      <c r="B1588" s="90"/>
      <c r="C1588" s="89"/>
      <c r="D1588" s="91"/>
      <c r="E1588" s="77"/>
    </row>
    <row r="1589" spans="1:5" s="75" customFormat="1">
      <c r="A1589" s="90"/>
      <c r="B1589" s="90"/>
      <c r="C1589" s="89"/>
      <c r="D1589" s="91"/>
      <c r="E1589" s="77"/>
    </row>
    <row r="1590" spans="1:5" s="75" customFormat="1">
      <c r="A1590" s="90"/>
      <c r="B1590" s="90"/>
      <c r="C1590" s="89"/>
      <c r="D1590" s="91"/>
      <c r="E1590" s="77"/>
    </row>
    <row r="1591" spans="1:5" s="75" customFormat="1">
      <c r="A1591" s="90"/>
      <c r="B1591" s="90"/>
      <c r="C1591" s="89"/>
      <c r="D1591" s="91"/>
      <c r="E1591" s="77"/>
    </row>
    <row r="1592" spans="1:5" s="75" customFormat="1">
      <c r="A1592" s="90"/>
      <c r="B1592" s="90"/>
      <c r="C1592" s="89"/>
      <c r="D1592" s="91"/>
      <c r="E1592" s="77"/>
    </row>
    <row r="1593" spans="1:5" s="75" customFormat="1">
      <c r="A1593" s="90"/>
      <c r="B1593" s="90"/>
      <c r="C1593" s="89"/>
      <c r="D1593" s="91"/>
      <c r="E1593" s="77"/>
    </row>
    <row r="1594" spans="1:5" s="75" customFormat="1">
      <c r="A1594" s="90"/>
      <c r="B1594" s="90"/>
      <c r="C1594" s="89"/>
      <c r="D1594" s="91"/>
      <c r="E1594" s="77"/>
    </row>
    <row r="1595" spans="1:5" s="75" customFormat="1">
      <c r="A1595" s="90"/>
      <c r="B1595" s="90"/>
      <c r="C1595" s="89"/>
      <c r="D1595" s="91"/>
      <c r="E1595" s="77"/>
    </row>
    <row r="1596" spans="1:5" s="75" customFormat="1">
      <c r="A1596" s="90"/>
      <c r="B1596" s="90"/>
      <c r="C1596" s="89"/>
      <c r="D1596" s="91"/>
      <c r="E1596" s="77"/>
    </row>
    <row r="1597" spans="1:5" s="75" customFormat="1">
      <c r="A1597" s="90"/>
      <c r="B1597" s="90"/>
      <c r="C1597" s="89"/>
      <c r="D1597" s="91"/>
      <c r="E1597" s="77"/>
    </row>
    <row r="1598" spans="1:5" s="75" customFormat="1">
      <c r="A1598" s="90"/>
      <c r="B1598" s="90"/>
      <c r="C1598" s="89"/>
      <c r="D1598" s="91"/>
      <c r="E1598" s="77"/>
    </row>
    <row r="1599" spans="1:5" s="75" customFormat="1">
      <c r="A1599" s="90"/>
      <c r="B1599" s="90"/>
      <c r="C1599" s="89"/>
      <c r="D1599" s="91"/>
      <c r="E1599" s="77"/>
    </row>
    <row r="1600" spans="1:5" s="75" customFormat="1">
      <c r="A1600" s="90"/>
      <c r="B1600" s="90"/>
      <c r="C1600" s="89"/>
      <c r="D1600" s="91"/>
      <c r="E1600" s="77"/>
    </row>
    <row r="1601" spans="1:5" s="75" customFormat="1">
      <c r="A1601" s="90"/>
      <c r="B1601" s="90"/>
      <c r="C1601" s="89"/>
      <c r="D1601" s="91"/>
      <c r="E1601" s="77"/>
    </row>
    <row r="1602" spans="1:5" s="75" customFormat="1">
      <c r="A1602" s="90"/>
      <c r="B1602" s="90"/>
      <c r="C1602" s="89"/>
      <c r="D1602" s="91"/>
      <c r="E1602" s="77"/>
    </row>
    <row r="1603" spans="1:5" s="75" customFormat="1">
      <c r="A1603" s="90"/>
      <c r="B1603" s="90"/>
      <c r="C1603" s="89"/>
      <c r="D1603" s="91"/>
      <c r="E1603" s="77"/>
    </row>
    <row r="1604" spans="1:5" s="75" customFormat="1">
      <c r="A1604" s="90"/>
      <c r="B1604" s="90"/>
      <c r="C1604" s="89"/>
      <c r="D1604" s="91"/>
      <c r="E1604" s="77"/>
    </row>
    <row r="1605" spans="1:5" s="75" customFormat="1">
      <c r="A1605" s="90"/>
      <c r="B1605" s="90"/>
      <c r="C1605" s="89"/>
      <c r="D1605" s="91"/>
      <c r="E1605" s="77"/>
    </row>
    <row r="1606" spans="1:5" s="75" customFormat="1">
      <c r="A1606" s="90"/>
      <c r="B1606" s="90"/>
      <c r="C1606" s="89"/>
      <c r="D1606" s="91"/>
      <c r="E1606" s="77"/>
    </row>
    <row r="1607" spans="1:5" s="75" customFormat="1">
      <c r="A1607" s="90"/>
      <c r="B1607" s="90"/>
      <c r="C1607" s="89"/>
      <c r="D1607" s="91"/>
      <c r="E1607" s="77"/>
    </row>
    <row r="1608" spans="1:5" s="75" customFormat="1">
      <c r="A1608" s="90"/>
      <c r="B1608" s="90"/>
      <c r="C1608" s="89"/>
      <c r="D1608" s="91"/>
      <c r="E1608" s="77"/>
    </row>
    <row r="1609" spans="1:5" s="75" customFormat="1">
      <c r="A1609" s="90"/>
      <c r="B1609" s="90"/>
      <c r="C1609" s="89"/>
      <c r="D1609" s="91"/>
      <c r="E1609" s="77"/>
    </row>
    <row r="1610" spans="1:5" s="75" customFormat="1">
      <c r="A1610" s="90"/>
      <c r="B1610" s="90"/>
      <c r="C1610" s="89"/>
      <c r="D1610" s="91"/>
      <c r="E1610" s="77"/>
    </row>
    <row r="1611" spans="1:5" s="75" customFormat="1">
      <c r="A1611" s="90"/>
      <c r="B1611" s="90"/>
      <c r="C1611" s="89"/>
      <c r="D1611" s="91"/>
      <c r="E1611" s="77"/>
    </row>
    <row r="1612" spans="1:5" s="75" customFormat="1">
      <c r="A1612" s="90"/>
      <c r="B1612" s="90"/>
      <c r="C1612" s="89"/>
      <c r="D1612" s="91"/>
      <c r="E1612" s="77"/>
    </row>
    <row r="1613" spans="1:5" s="75" customFormat="1">
      <c r="A1613" s="90"/>
      <c r="B1613" s="90"/>
      <c r="C1613" s="89"/>
      <c r="D1613" s="91"/>
      <c r="E1613" s="77"/>
    </row>
    <row r="1614" spans="1:5" s="75" customFormat="1">
      <c r="A1614" s="90"/>
      <c r="B1614" s="90"/>
      <c r="C1614" s="89"/>
      <c r="D1614" s="91"/>
      <c r="E1614" s="77"/>
    </row>
    <row r="1615" spans="1:5" s="75" customFormat="1">
      <c r="A1615" s="90"/>
      <c r="B1615" s="90"/>
      <c r="C1615" s="89"/>
      <c r="D1615" s="91"/>
      <c r="E1615" s="77"/>
    </row>
    <row r="1616" spans="1:5" s="75" customFormat="1">
      <c r="A1616" s="90"/>
      <c r="B1616" s="90"/>
      <c r="C1616" s="89"/>
      <c r="D1616" s="91"/>
      <c r="E1616" s="77"/>
    </row>
    <row r="1617" spans="1:5" s="75" customFormat="1">
      <c r="A1617" s="90"/>
      <c r="B1617" s="90"/>
      <c r="C1617" s="89"/>
      <c r="D1617" s="91"/>
      <c r="E1617" s="77"/>
    </row>
    <row r="1618" spans="1:5" s="75" customFormat="1">
      <c r="A1618" s="90"/>
      <c r="B1618" s="90"/>
      <c r="C1618" s="89"/>
      <c r="D1618" s="91"/>
      <c r="E1618" s="77"/>
    </row>
    <row r="1619" spans="1:5" s="75" customFormat="1">
      <c r="A1619" s="90"/>
      <c r="B1619" s="90"/>
      <c r="C1619" s="89"/>
      <c r="D1619" s="91"/>
      <c r="E1619" s="77"/>
    </row>
    <row r="1620" spans="1:5" s="75" customFormat="1">
      <c r="A1620" s="90"/>
      <c r="B1620" s="90"/>
      <c r="C1620" s="89"/>
      <c r="D1620" s="91"/>
      <c r="E1620" s="77"/>
    </row>
    <row r="1621" spans="1:5" s="75" customFormat="1">
      <c r="A1621" s="90"/>
      <c r="B1621" s="90"/>
      <c r="C1621" s="89"/>
      <c r="D1621" s="91"/>
      <c r="E1621" s="77"/>
    </row>
    <row r="1622" spans="1:5" s="75" customFormat="1">
      <c r="A1622" s="90"/>
      <c r="B1622" s="90"/>
      <c r="C1622" s="89"/>
      <c r="D1622" s="91"/>
      <c r="E1622" s="77"/>
    </row>
    <row r="1623" spans="1:5" s="75" customFormat="1">
      <c r="A1623" s="90"/>
      <c r="B1623" s="90"/>
      <c r="C1623" s="89"/>
      <c r="D1623" s="91"/>
      <c r="E1623" s="77"/>
    </row>
    <row r="1624" spans="1:5" s="75" customFormat="1">
      <c r="A1624" s="90"/>
      <c r="B1624" s="90"/>
      <c r="C1624" s="89"/>
      <c r="D1624" s="91"/>
      <c r="E1624" s="77"/>
    </row>
    <row r="1625" spans="1:5" s="75" customFormat="1">
      <c r="A1625" s="90"/>
      <c r="B1625" s="90"/>
      <c r="C1625" s="89"/>
      <c r="D1625" s="91"/>
      <c r="E1625" s="77"/>
    </row>
    <row r="1626" spans="1:5" s="75" customFormat="1">
      <c r="A1626" s="90"/>
      <c r="B1626" s="90"/>
      <c r="C1626" s="89"/>
      <c r="D1626" s="91"/>
      <c r="E1626" s="77"/>
    </row>
    <row r="1627" spans="1:5" s="75" customFormat="1">
      <c r="A1627" s="90"/>
      <c r="B1627" s="90"/>
      <c r="C1627" s="89"/>
      <c r="D1627" s="91"/>
      <c r="E1627" s="77"/>
    </row>
    <row r="1628" spans="1:5" s="75" customFormat="1">
      <c r="A1628" s="90"/>
      <c r="B1628" s="90"/>
      <c r="C1628" s="89"/>
      <c r="D1628" s="91"/>
      <c r="E1628" s="77"/>
    </row>
    <row r="1629" spans="1:5" s="75" customFormat="1">
      <c r="A1629" s="90"/>
      <c r="B1629" s="90"/>
      <c r="C1629" s="89"/>
      <c r="D1629" s="91"/>
      <c r="E1629" s="77"/>
    </row>
    <row r="1630" spans="1:5" s="75" customFormat="1">
      <c r="A1630" s="90"/>
      <c r="B1630" s="90"/>
      <c r="C1630" s="89"/>
      <c r="D1630" s="91"/>
      <c r="E1630" s="77"/>
    </row>
    <row r="1631" spans="1:5" s="75" customFormat="1">
      <c r="A1631" s="90"/>
      <c r="B1631" s="90"/>
      <c r="C1631" s="89"/>
      <c r="D1631" s="91"/>
      <c r="E1631" s="77"/>
    </row>
    <row r="1632" spans="1:5" s="75" customFormat="1">
      <c r="A1632" s="90"/>
      <c r="B1632" s="90"/>
      <c r="C1632" s="89"/>
      <c r="D1632" s="91"/>
      <c r="E1632" s="77"/>
    </row>
    <row r="1633" spans="1:5" s="75" customFormat="1">
      <c r="A1633" s="90"/>
      <c r="B1633" s="90"/>
      <c r="C1633" s="89"/>
      <c r="D1633" s="91"/>
      <c r="E1633" s="77"/>
    </row>
    <row r="1634" spans="1:5" s="75" customFormat="1">
      <c r="A1634" s="90"/>
      <c r="B1634" s="90"/>
      <c r="C1634" s="89"/>
      <c r="D1634" s="91"/>
      <c r="E1634" s="77"/>
    </row>
    <row r="1635" spans="1:5" s="75" customFormat="1">
      <c r="A1635" s="90"/>
      <c r="B1635" s="90"/>
      <c r="C1635" s="89"/>
      <c r="D1635" s="91"/>
      <c r="E1635" s="77"/>
    </row>
    <row r="1636" spans="1:5" s="75" customFormat="1">
      <c r="A1636" s="90"/>
      <c r="B1636" s="90"/>
      <c r="C1636" s="89"/>
      <c r="D1636" s="91"/>
      <c r="E1636" s="77"/>
    </row>
    <row r="1637" spans="1:5" s="75" customFormat="1">
      <c r="A1637" s="90"/>
      <c r="B1637" s="90"/>
      <c r="C1637" s="89"/>
      <c r="D1637" s="91"/>
      <c r="E1637" s="77"/>
    </row>
    <row r="1638" spans="1:5" s="75" customFormat="1">
      <c r="A1638" s="90"/>
      <c r="B1638" s="90"/>
      <c r="C1638" s="89"/>
      <c r="D1638" s="91"/>
      <c r="E1638" s="77"/>
    </row>
    <row r="1639" spans="1:5" s="75" customFormat="1">
      <c r="A1639" s="90"/>
      <c r="B1639" s="90"/>
      <c r="C1639" s="89"/>
      <c r="D1639" s="91"/>
      <c r="E1639" s="77"/>
    </row>
    <row r="1640" spans="1:5" s="75" customFormat="1">
      <c r="A1640" s="90"/>
      <c r="B1640" s="90"/>
      <c r="C1640" s="89"/>
      <c r="D1640" s="91"/>
      <c r="E1640" s="77"/>
    </row>
    <row r="1641" spans="1:5" s="75" customFormat="1">
      <c r="A1641" s="90"/>
      <c r="B1641" s="90"/>
      <c r="C1641" s="89"/>
      <c r="D1641" s="91"/>
      <c r="E1641" s="77"/>
    </row>
    <row r="1642" spans="1:5" s="75" customFormat="1">
      <c r="A1642" s="90"/>
      <c r="B1642" s="90"/>
      <c r="C1642" s="89"/>
      <c r="D1642" s="91"/>
      <c r="E1642" s="77"/>
    </row>
    <row r="1643" spans="1:5" s="75" customFormat="1">
      <c r="A1643" s="90"/>
      <c r="B1643" s="90"/>
      <c r="C1643" s="89"/>
      <c r="D1643" s="91"/>
      <c r="E1643" s="77"/>
    </row>
    <row r="1644" spans="1:5" s="75" customFormat="1">
      <c r="A1644" s="90"/>
      <c r="B1644" s="90"/>
      <c r="C1644" s="89"/>
      <c r="D1644" s="91"/>
      <c r="E1644" s="77"/>
    </row>
    <row r="1645" spans="1:5" s="75" customFormat="1">
      <c r="A1645" s="90"/>
      <c r="B1645" s="90"/>
      <c r="C1645" s="89"/>
      <c r="D1645" s="91"/>
      <c r="E1645" s="77"/>
    </row>
    <row r="1646" spans="1:5" s="75" customFormat="1">
      <c r="A1646" s="90"/>
      <c r="B1646" s="90"/>
      <c r="C1646" s="89"/>
      <c r="D1646" s="91"/>
      <c r="E1646" s="77"/>
    </row>
    <row r="1647" spans="1:5" s="75" customFormat="1">
      <c r="A1647" s="90"/>
      <c r="B1647" s="90"/>
      <c r="C1647" s="89"/>
      <c r="D1647" s="91"/>
      <c r="E1647" s="77"/>
    </row>
    <row r="1648" spans="1:5" s="75" customFormat="1">
      <c r="A1648" s="90"/>
      <c r="B1648" s="90"/>
      <c r="C1648" s="89"/>
      <c r="D1648" s="91"/>
      <c r="E1648" s="77"/>
    </row>
    <row r="1649" spans="1:5" s="75" customFormat="1">
      <c r="A1649" s="90"/>
      <c r="B1649" s="90"/>
      <c r="C1649" s="89"/>
      <c r="D1649" s="91"/>
      <c r="E1649" s="77"/>
    </row>
    <row r="1650" spans="1:5" s="75" customFormat="1">
      <c r="A1650" s="90"/>
      <c r="B1650" s="90"/>
      <c r="C1650" s="89"/>
      <c r="D1650" s="91"/>
      <c r="E1650" s="77"/>
    </row>
    <row r="1651" spans="1:5" s="75" customFormat="1">
      <c r="A1651" s="90"/>
      <c r="B1651" s="90"/>
      <c r="C1651" s="89"/>
      <c r="D1651" s="91"/>
      <c r="E1651" s="77"/>
    </row>
    <row r="1652" spans="1:5" s="75" customFormat="1">
      <c r="A1652" s="90"/>
      <c r="B1652" s="90"/>
      <c r="C1652" s="89"/>
      <c r="D1652" s="91"/>
      <c r="E1652" s="77"/>
    </row>
    <row r="1653" spans="1:5" s="75" customFormat="1">
      <c r="A1653" s="90"/>
      <c r="B1653" s="90"/>
      <c r="C1653" s="89"/>
      <c r="D1653" s="91"/>
      <c r="E1653" s="77"/>
    </row>
    <row r="1654" spans="1:5" s="75" customFormat="1">
      <c r="A1654" s="90"/>
      <c r="B1654" s="90"/>
      <c r="C1654" s="89"/>
      <c r="D1654" s="91"/>
      <c r="E1654" s="77"/>
    </row>
    <row r="1655" spans="1:5" s="75" customFormat="1">
      <c r="A1655" s="90"/>
      <c r="B1655" s="90"/>
      <c r="C1655" s="89"/>
      <c r="D1655" s="91"/>
      <c r="E1655" s="77"/>
    </row>
    <row r="1656" spans="1:5" s="75" customFormat="1">
      <c r="A1656" s="90"/>
      <c r="B1656" s="90"/>
      <c r="C1656" s="89"/>
      <c r="D1656" s="91"/>
      <c r="E1656" s="77"/>
    </row>
    <row r="1657" spans="1:5" s="75" customFormat="1">
      <c r="A1657" s="90"/>
      <c r="B1657" s="90"/>
      <c r="C1657" s="89"/>
      <c r="D1657" s="91"/>
      <c r="E1657" s="77"/>
    </row>
    <row r="1658" spans="1:5" s="75" customFormat="1">
      <c r="A1658" s="90"/>
      <c r="B1658" s="90"/>
      <c r="C1658" s="89"/>
      <c r="D1658" s="91"/>
      <c r="E1658" s="77"/>
    </row>
    <row r="1659" spans="1:5" s="75" customFormat="1">
      <c r="A1659" s="90"/>
      <c r="B1659" s="90"/>
      <c r="C1659" s="89"/>
      <c r="D1659" s="91"/>
      <c r="E1659" s="77"/>
    </row>
    <row r="1660" spans="1:5" s="75" customFormat="1">
      <c r="A1660" s="90"/>
      <c r="B1660" s="90"/>
      <c r="C1660" s="89"/>
      <c r="D1660" s="91"/>
      <c r="E1660" s="77"/>
    </row>
    <row r="1661" spans="1:5" s="75" customFormat="1">
      <c r="A1661" s="90"/>
      <c r="B1661" s="90"/>
      <c r="C1661" s="89"/>
      <c r="D1661" s="91"/>
      <c r="E1661" s="77"/>
    </row>
    <row r="1662" spans="1:5" s="75" customFormat="1">
      <c r="A1662" s="90"/>
      <c r="B1662" s="90"/>
      <c r="C1662" s="89"/>
      <c r="D1662" s="91"/>
      <c r="E1662" s="77"/>
    </row>
    <row r="1663" spans="1:5" s="75" customFormat="1">
      <c r="A1663" s="90"/>
      <c r="B1663" s="90"/>
      <c r="C1663" s="89"/>
      <c r="D1663" s="91"/>
      <c r="E1663" s="77"/>
    </row>
    <row r="1664" spans="1:5" s="75" customFormat="1">
      <c r="A1664" s="90"/>
      <c r="B1664" s="90"/>
      <c r="C1664" s="89"/>
      <c r="D1664" s="91"/>
      <c r="E1664" s="77"/>
    </row>
    <row r="1665" spans="1:5" s="75" customFormat="1">
      <c r="A1665" s="90"/>
      <c r="B1665" s="90"/>
      <c r="C1665" s="89"/>
      <c r="D1665" s="91"/>
      <c r="E1665" s="77"/>
    </row>
    <row r="1666" spans="1:5" s="75" customFormat="1">
      <c r="A1666" s="90"/>
      <c r="B1666" s="90"/>
      <c r="C1666" s="89"/>
      <c r="D1666" s="91"/>
      <c r="E1666" s="77"/>
    </row>
    <row r="1667" spans="1:5" s="75" customFormat="1">
      <c r="A1667" s="90"/>
      <c r="B1667" s="90"/>
      <c r="C1667" s="89"/>
      <c r="D1667" s="91"/>
      <c r="E1667" s="77"/>
    </row>
    <row r="1668" spans="1:5" s="75" customFormat="1">
      <c r="A1668" s="90"/>
      <c r="B1668" s="90"/>
      <c r="C1668" s="89"/>
      <c r="D1668" s="91"/>
      <c r="E1668" s="77"/>
    </row>
    <row r="1669" spans="1:5" s="75" customFormat="1">
      <c r="A1669" s="90"/>
      <c r="B1669" s="90"/>
      <c r="C1669" s="89"/>
      <c r="D1669" s="91"/>
      <c r="E1669" s="77"/>
    </row>
    <row r="1670" spans="1:5" s="75" customFormat="1">
      <c r="A1670" s="90"/>
      <c r="B1670" s="90"/>
      <c r="C1670" s="89"/>
      <c r="D1670" s="91"/>
      <c r="E1670" s="77"/>
    </row>
    <row r="1671" spans="1:5" s="75" customFormat="1">
      <c r="A1671" s="90"/>
      <c r="B1671" s="90"/>
      <c r="C1671" s="89"/>
      <c r="D1671" s="91"/>
      <c r="E1671" s="77"/>
    </row>
    <row r="1672" spans="1:5" s="75" customFormat="1">
      <c r="A1672" s="90"/>
      <c r="B1672" s="90"/>
      <c r="C1672" s="89"/>
      <c r="D1672" s="91"/>
      <c r="E1672" s="77"/>
    </row>
    <row r="1673" spans="1:5" s="75" customFormat="1">
      <c r="A1673" s="90"/>
      <c r="B1673" s="90"/>
      <c r="C1673" s="89"/>
      <c r="D1673" s="91"/>
      <c r="E1673" s="77"/>
    </row>
    <row r="1674" spans="1:5" s="75" customFormat="1">
      <c r="A1674" s="90"/>
      <c r="B1674" s="90"/>
      <c r="C1674" s="89"/>
      <c r="D1674" s="91"/>
      <c r="E1674" s="77"/>
    </row>
    <row r="1675" spans="1:5" s="75" customFormat="1">
      <c r="A1675" s="90"/>
      <c r="B1675" s="90"/>
      <c r="C1675" s="89"/>
      <c r="D1675" s="91"/>
      <c r="E1675" s="77"/>
    </row>
    <row r="1676" spans="1:5" s="75" customFormat="1">
      <c r="A1676" s="90"/>
      <c r="B1676" s="90"/>
      <c r="C1676" s="89"/>
      <c r="D1676" s="91"/>
      <c r="E1676" s="77"/>
    </row>
    <row r="1677" spans="1:5" s="75" customFormat="1">
      <c r="A1677" s="90"/>
      <c r="B1677" s="90"/>
      <c r="C1677" s="89"/>
      <c r="D1677" s="91"/>
      <c r="E1677" s="77"/>
    </row>
    <row r="1678" spans="1:5" s="75" customFormat="1">
      <c r="A1678" s="90"/>
      <c r="B1678" s="90"/>
      <c r="C1678" s="89"/>
      <c r="D1678" s="91"/>
      <c r="E1678" s="77"/>
    </row>
    <row r="1679" spans="1:5" s="75" customFormat="1">
      <c r="A1679" s="90"/>
      <c r="B1679" s="90"/>
      <c r="C1679" s="89"/>
      <c r="D1679" s="91"/>
      <c r="E1679" s="77"/>
    </row>
    <row r="1680" spans="1:5" s="75" customFormat="1">
      <c r="A1680" s="90"/>
      <c r="B1680" s="90"/>
      <c r="C1680" s="89"/>
      <c r="D1680" s="91"/>
      <c r="E1680" s="77"/>
    </row>
    <row r="1681" spans="1:5" s="75" customFormat="1">
      <c r="A1681" s="90"/>
      <c r="B1681" s="90"/>
      <c r="C1681" s="89"/>
      <c r="D1681" s="91"/>
      <c r="E1681" s="77"/>
    </row>
    <row r="1682" spans="1:5" s="75" customFormat="1">
      <c r="A1682" s="90"/>
      <c r="B1682" s="90"/>
      <c r="C1682" s="89"/>
      <c r="D1682" s="91"/>
      <c r="E1682" s="77"/>
    </row>
    <row r="1683" spans="1:5" s="75" customFormat="1">
      <c r="A1683" s="90"/>
      <c r="B1683" s="90"/>
      <c r="C1683" s="89"/>
      <c r="D1683" s="91"/>
      <c r="E1683" s="77"/>
    </row>
    <row r="1684" spans="1:5" s="75" customFormat="1">
      <c r="A1684" s="90"/>
      <c r="B1684" s="90"/>
      <c r="C1684" s="89"/>
      <c r="D1684" s="91"/>
      <c r="E1684" s="77"/>
    </row>
    <row r="1685" spans="1:5" s="75" customFormat="1">
      <c r="A1685" s="90"/>
      <c r="B1685" s="90"/>
      <c r="C1685" s="89"/>
      <c r="D1685" s="91"/>
      <c r="E1685" s="77"/>
    </row>
    <row r="1686" spans="1:5" s="75" customFormat="1">
      <c r="A1686" s="90"/>
      <c r="B1686" s="90"/>
      <c r="C1686" s="89"/>
      <c r="D1686" s="91"/>
      <c r="E1686" s="77"/>
    </row>
    <row r="1687" spans="1:5" s="75" customFormat="1">
      <c r="A1687" s="90"/>
      <c r="B1687" s="90"/>
      <c r="C1687" s="89"/>
      <c r="D1687" s="91"/>
      <c r="E1687" s="77"/>
    </row>
    <row r="1688" spans="1:5" s="75" customFormat="1">
      <c r="A1688" s="90"/>
      <c r="B1688" s="90"/>
      <c r="C1688" s="89"/>
      <c r="D1688" s="91"/>
      <c r="E1688" s="77"/>
    </row>
    <row r="1689" spans="1:5" s="75" customFormat="1">
      <c r="A1689" s="90"/>
      <c r="B1689" s="90"/>
      <c r="C1689" s="89"/>
      <c r="D1689" s="91"/>
      <c r="E1689" s="77"/>
    </row>
    <row r="1690" spans="1:5" s="75" customFormat="1">
      <c r="A1690" s="90"/>
      <c r="B1690" s="90"/>
      <c r="C1690" s="89"/>
      <c r="D1690" s="91"/>
      <c r="E1690" s="77"/>
    </row>
    <row r="1691" spans="1:5" s="75" customFormat="1">
      <c r="A1691" s="90"/>
      <c r="B1691" s="90"/>
      <c r="C1691" s="89"/>
      <c r="D1691" s="91"/>
      <c r="E1691" s="77"/>
    </row>
    <row r="1692" spans="1:5" s="75" customFormat="1">
      <c r="A1692" s="90"/>
      <c r="B1692" s="90"/>
      <c r="C1692" s="89"/>
      <c r="D1692" s="91"/>
      <c r="E1692" s="77"/>
    </row>
    <row r="1693" spans="1:5" s="75" customFormat="1">
      <c r="A1693" s="90"/>
      <c r="B1693" s="90"/>
      <c r="C1693" s="89"/>
      <c r="D1693" s="91"/>
      <c r="E1693" s="77"/>
    </row>
    <row r="1694" spans="1:5" s="75" customFormat="1">
      <c r="A1694" s="90"/>
      <c r="B1694" s="90"/>
      <c r="C1694" s="89"/>
      <c r="D1694" s="91"/>
      <c r="E1694" s="77"/>
    </row>
    <row r="1695" spans="1:5" s="75" customFormat="1">
      <c r="A1695" s="90"/>
      <c r="B1695" s="90"/>
      <c r="C1695" s="89"/>
      <c r="D1695" s="91"/>
      <c r="E1695" s="77"/>
    </row>
    <row r="1696" spans="1:5" s="75" customFormat="1">
      <c r="A1696" s="90"/>
      <c r="B1696" s="90"/>
      <c r="C1696" s="89"/>
      <c r="D1696" s="91"/>
      <c r="E1696" s="77"/>
    </row>
    <row r="1697" spans="1:5" s="75" customFormat="1">
      <c r="A1697" s="90"/>
      <c r="B1697" s="90"/>
      <c r="C1697" s="89"/>
      <c r="D1697" s="91"/>
      <c r="E1697" s="77"/>
    </row>
    <row r="1698" spans="1:5" s="75" customFormat="1">
      <c r="A1698" s="90"/>
      <c r="B1698" s="90"/>
      <c r="C1698" s="89"/>
      <c r="D1698" s="91"/>
      <c r="E1698" s="77"/>
    </row>
    <row r="1699" spans="1:5" s="75" customFormat="1">
      <c r="A1699" s="90"/>
      <c r="B1699" s="90"/>
      <c r="C1699" s="89"/>
      <c r="D1699" s="91"/>
      <c r="E1699" s="77"/>
    </row>
    <row r="1700" spans="1:5" s="75" customFormat="1">
      <c r="A1700" s="90"/>
      <c r="B1700" s="90"/>
      <c r="C1700" s="89"/>
      <c r="D1700" s="91"/>
      <c r="E1700" s="77"/>
    </row>
    <row r="1701" spans="1:5" s="75" customFormat="1">
      <c r="A1701" s="90"/>
      <c r="B1701" s="90"/>
      <c r="C1701" s="89"/>
      <c r="D1701" s="91"/>
      <c r="E1701" s="77"/>
    </row>
    <row r="1702" spans="1:5" s="75" customFormat="1">
      <c r="A1702" s="90"/>
      <c r="B1702" s="90"/>
      <c r="C1702" s="89"/>
      <c r="D1702" s="91"/>
      <c r="E1702" s="77"/>
    </row>
    <row r="1703" spans="1:5" s="75" customFormat="1">
      <c r="A1703" s="90"/>
      <c r="B1703" s="90"/>
      <c r="C1703" s="89"/>
      <c r="D1703" s="91"/>
      <c r="E1703" s="77"/>
    </row>
    <row r="1704" spans="1:5" s="75" customFormat="1">
      <c r="A1704" s="90"/>
      <c r="B1704" s="90"/>
      <c r="C1704" s="89"/>
      <c r="D1704" s="91"/>
      <c r="E1704" s="77"/>
    </row>
    <row r="1705" spans="1:5" s="75" customFormat="1">
      <c r="A1705" s="90"/>
      <c r="B1705" s="90"/>
      <c r="C1705" s="89"/>
      <c r="D1705" s="91"/>
      <c r="E1705" s="77"/>
    </row>
    <row r="1706" spans="1:5" s="75" customFormat="1">
      <c r="A1706" s="90"/>
      <c r="B1706" s="90"/>
      <c r="C1706" s="89"/>
      <c r="D1706" s="91"/>
      <c r="E1706" s="77"/>
    </row>
    <row r="1707" spans="1:5" s="75" customFormat="1">
      <c r="A1707" s="90"/>
      <c r="B1707" s="90"/>
      <c r="C1707" s="89"/>
      <c r="D1707" s="91"/>
      <c r="E1707" s="77"/>
    </row>
    <row r="1708" spans="1:5" s="75" customFormat="1">
      <c r="A1708" s="90"/>
      <c r="B1708" s="90"/>
      <c r="C1708" s="89"/>
      <c r="D1708" s="91"/>
      <c r="E1708" s="77"/>
    </row>
    <row r="1709" spans="1:5" s="75" customFormat="1">
      <c r="A1709" s="90"/>
      <c r="B1709" s="90"/>
      <c r="C1709" s="89"/>
      <c r="D1709" s="91"/>
      <c r="E1709" s="77"/>
    </row>
    <row r="1710" spans="1:5" s="75" customFormat="1">
      <c r="A1710" s="90"/>
      <c r="B1710" s="90"/>
      <c r="C1710" s="89"/>
      <c r="D1710" s="91"/>
      <c r="E1710" s="77"/>
    </row>
    <row r="1711" spans="1:5" s="75" customFormat="1">
      <c r="A1711" s="90"/>
      <c r="B1711" s="90"/>
      <c r="C1711" s="89"/>
      <c r="D1711" s="91"/>
      <c r="E1711" s="77"/>
    </row>
    <row r="1712" spans="1:5" s="75" customFormat="1">
      <c r="A1712" s="90"/>
      <c r="B1712" s="90"/>
      <c r="C1712" s="89"/>
      <c r="D1712" s="91"/>
      <c r="E1712" s="77"/>
    </row>
    <row r="1713" spans="1:5" s="75" customFormat="1">
      <c r="A1713" s="90"/>
      <c r="B1713" s="90"/>
      <c r="C1713" s="89"/>
      <c r="D1713" s="91"/>
      <c r="E1713" s="77"/>
    </row>
    <row r="1714" spans="1:5" s="75" customFormat="1">
      <c r="A1714" s="90"/>
      <c r="B1714" s="90"/>
      <c r="C1714" s="89"/>
      <c r="D1714" s="91"/>
      <c r="E1714" s="77"/>
    </row>
    <row r="1715" spans="1:5" s="75" customFormat="1">
      <c r="A1715" s="90"/>
      <c r="B1715" s="90"/>
      <c r="C1715" s="89"/>
      <c r="D1715" s="91"/>
      <c r="E1715" s="77"/>
    </row>
    <row r="1716" spans="1:5" s="75" customFormat="1">
      <c r="A1716" s="90"/>
      <c r="B1716" s="90"/>
      <c r="C1716" s="89"/>
      <c r="D1716" s="91"/>
      <c r="E1716" s="77"/>
    </row>
    <row r="1717" spans="1:5" s="75" customFormat="1">
      <c r="A1717" s="90"/>
      <c r="B1717" s="90"/>
      <c r="C1717" s="89"/>
      <c r="D1717" s="91"/>
      <c r="E1717" s="77"/>
    </row>
    <row r="1718" spans="1:5" s="75" customFormat="1">
      <c r="A1718" s="90"/>
      <c r="B1718" s="90"/>
      <c r="C1718" s="89"/>
      <c r="D1718" s="91"/>
      <c r="E1718" s="77"/>
    </row>
    <row r="1719" spans="1:5" s="75" customFormat="1">
      <c r="A1719" s="90"/>
      <c r="B1719" s="90"/>
      <c r="C1719" s="89"/>
      <c r="D1719" s="91"/>
      <c r="E1719" s="77"/>
    </row>
    <row r="1720" spans="1:5" s="75" customFormat="1">
      <c r="A1720" s="90"/>
      <c r="B1720" s="90"/>
      <c r="C1720" s="89"/>
      <c r="D1720" s="91"/>
      <c r="E1720" s="77"/>
    </row>
    <row r="1721" spans="1:5" s="75" customFormat="1">
      <c r="A1721" s="90"/>
      <c r="B1721" s="90"/>
      <c r="C1721" s="89"/>
      <c r="D1721" s="91"/>
      <c r="E1721" s="77"/>
    </row>
    <row r="1722" spans="1:5" s="75" customFormat="1">
      <c r="A1722" s="90"/>
      <c r="B1722" s="90"/>
      <c r="C1722" s="89"/>
      <c r="D1722" s="91"/>
      <c r="E1722" s="77"/>
    </row>
    <row r="1723" spans="1:5" s="75" customFormat="1">
      <c r="A1723" s="90"/>
      <c r="B1723" s="90"/>
      <c r="C1723" s="89"/>
      <c r="D1723" s="91"/>
      <c r="E1723" s="77"/>
    </row>
    <row r="1724" spans="1:5" s="75" customFormat="1">
      <c r="A1724" s="90"/>
      <c r="B1724" s="90"/>
      <c r="C1724" s="89"/>
      <c r="D1724" s="91"/>
      <c r="E1724" s="77"/>
    </row>
    <row r="1725" spans="1:5" s="75" customFormat="1">
      <c r="A1725" s="90"/>
      <c r="B1725" s="90"/>
      <c r="C1725" s="89"/>
      <c r="D1725" s="91"/>
      <c r="E1725" s="77"/>
    </row>
    <row r="1726" spans="1:5" s="75" customFormat="1">
      <c r="A1726" s="90"/>
      <c r="B1726" s="90"/>
      <c r="C1726" s="89"/>
      <c r="D1726" s="91"/>
      <c r="E1726" s="77"/>
    </row>
    <row r="1727" spans="1:5" s="75" customFormat="1">
      <c r="A1727" s="90"/>
      <c r="B1727" s="90"/>
      <c r="C1727" s="89"/>
      <c r="D1727" s="91"/>
      <c r="E1727" s="77"/>
    </row>
    <row r="1728" spans="1:5" s="75" customFormat="1">
      <c r="A1728" s="90"/>
      <c r="B1728" s="90"/>
      <c r="C1728" s="89"/>
      <c r="D1728" s="91"/>
      <c r="E1728" s="77"/>
    </row>
    <row r="1729" spans="1:5" s="75" customFormat="1">
      <c r="A1729" s="90"/>
      <c r="B1729" s="90"/>
      <c r="C1729" s="89"/>
      <c r="D1729" s="91"/>
      <c r="E1729" s="77"/>
    </row>
    <row r="1730" spans="1:5" s="75" customFormat="1">
      <c r="A1730" s="90"/>
      <c r="B1730" s="90"/>
      <c r="C1730" s="89"/>
      <c r="D1730" s="91"/>
      <c r="E1730" s="77"/>
    </row>
    <row r="1731" spans="1:5" s="75" customFormat="1">
      <c r="A1731" s="90"/>
      <c r="B1731" s="90"/>
      <c r="C1731" s="89"/>
      <c r="D1731" s="91"/>
      <c r="E1731" s="77"/>
    </row>
    <row r="1732" spans="1:5" s="75" customFormat="1">
      <c r="A1732" s="90"/>
      <c r="B1732" s="90"/>
      <c r="C1732" s="89"/>
      <c r="D1732" s="91"/>
      <c r="E1732" s="77"/>
    </row>
    <row r="1733" spans="1:5" s="75" customFormat="1">
      <c r="A1733" s="90"/>
      <c r="B1733" s="90"/>
      <c r="C1733" s="89"/>
      <c r="D1733" s="91"/>
      <c r="E1733" s="77"/>
    </row>
    <row r="1734" spans="1:5" s="75" customFormat="1">
      <c r="A1734" s="90"/>
      <c r="B1734" s="90"/>
      <c r="C1734" s="89"/>
      <c r="D1734" s="91"/>
      <c r="E1734" s="77"/>
    </row>
    <row r="1735" spans="1:5" s="75" customFormat="1">
      <c r="A1735" s="90"/>
      <c r="B1735" s="90"/>
      <c r="C1735" s="89"/>
      <c r="D1735" s="91"/>
      <c r="E1735" s="77"/>
    </row>
    <row r="1736" spans="1:5" s="75" customFormat="1">
      <c r="A1736" s="90"/>
      <c r="B1736" s="90"/>
      <c r="C1736" s="89"/>
      <c r="D1736" s="91"/>
      <c r="E1736" s="77"/>
    </row>
    <row r="1737" spans="1:5" s="75" customFormat="1">
      <c r="A1737" s="90"/>
      <c r="B1737" s="90"/>
      <c r="C1737" s="89"/>
      <c r="D1737" s="91"/>
      <c r="E1737" s="77"/>
    </row>
    <row r="1738" spans="1:5" s="75" customFormat="1">
      <c r="A1738" s="90"/>
      <c r="B1738" s="90"/>
      <c r="C1738" s="89"/>
      <c r="D1738" s="91"/>
      <c r="E1738" s="77"/>
    </row>
    <row r="1739" spans="1:5" s="75" customFormat="1">
      <c r="A1739" s="90"/>
      <c r="B1739" s="90"/>
      <c r="C1739" s="89"/>
      <c r="D1739" s="91"/>
      <c r="E1739" s="77"/>
    </row>
    <row r="1740" spans="1:5" s="75" customFormat="1">
      <c r="A1740" s="90"/>
      <c r="B1740" s="90"/>
      <c r="C1740" s="89"/>
      <c r="D1740" s="91"/>
      <c r="E1740" s="77"/>
    </row>
    <row r="1741" spans="1:5" s="75" customFormat="1">
      <c r="A1741" s="90"/>
      <c r="B1741" s="90"/>
      <c r="C1741" s="89"/>
      <c r="D1741" s="91"/>
      <c r="E1741" s="77"/>
    </row>
    <row r="1742" spans="1:5" s="75" customFormat="1">
      <c r="A1742" s="90"/>
      <c r="B1742" s="90"/>
      <c r="C1742" s="89"/>
      <c r="D1742" s="91"/>
      <c r="E1742" s="77"/>
    </row>
    <row r="1743" spans="1:5" s="75" customFormat="1">
      <c r="A1743" s="90"/>
      <c r="B1743" s="90"/>
      <c r="C1743" s="89"/>
      <c r="D1743" s="91"/>
      <c r="E1743" s="77"/>
    </row>
    <row r="1744" spans="1:5" s="75" customFormat="1">
      <c r="A1744" s="90"/>
      <c r="B1744" s="90"/>
      <c r="C1744" s="89"/>
      <c r="D1744" s="91"/>
      <c r="E1744" s="77"/>
    </row>
    <row r="1745" spans="1:5" s="75" customFormat="1">
      <c r="A1745" s="90"/>
      <c r="B1745" s="90"/>
      <c r="C1745" s="89"/>
      <c r="D1745" s="91"/>
      <c r="E1745" s="77"/>
    </row>
    <row r="1746" spans="1:5" s="75" customFormat="1">
      <c r="A1746" s="90"/>
      <c r="B1746" s="90"/>
      <c r="C1746" s="89"/>
      <c r="D1746" s="91"/>
      <c r="E1746" s="77"/>
    </row>
    <row r="1747" spans="1:5" s="75" customFormat="1">
      <c r="A1747" s="90"/>
      <c r="B1747" s="90"/>
      <c r="C1747" s="89"/>
      <c r="D1747" s="91"/>
      <c r="E1747" s="77"/>
    </row>
    <row r="1748" spans="1:5" s="75" customFormat="1">
      <c r="A1748" s="90"/>
      <c r="B1748" s="90"/>
      <c r="C1748" s="89"/>
      <c r="D1748" s="91"/>
      <c r="E1748" s="77"/>
    </row>
    <row r="1749" spans="1:5" s="75" customFormat="1">
      <c r="A1749" s="90"/>
      <c r="B1749" s="90"/>
      <c r="C1749" s="89"/>
      <c r="D1749" s="91"/>
      <c r="E1749" s="77"/>
    </row>
    <row r="1750" spans="1:5" s="75" customFormat="1">
      <c r="A1750" s="90"/>
      <c r="B1750" s="90"/>
      <c r="C1750" s="89"/>
      <c r="D1750" s="91"/>
      <c r="E1750" s="77"/>
    </row>
    <row r="1751" spans="1:5" s="75" customFormat="1">
      <c r="A1751" s="90"/>
      <c r="B1751" s="90"/>
      <c r="C1751" s="89"/>
      <c r="D1751" s="91"/>
      <c r="E1751" s="77"/>
    </row>
    <row r="1752" spans="1:5" s="75" customFormat="1">
      <c r="A1752" s="90"/>
      <c r="B1752" s="90"/>
      <c r="C1752" s="89"/>
      <c r="D1752" s="91"/>
      <c r="E1752" s="77"/>
    </row>
    <row r="1753" spans="1:5" s="75" customFormat="1">
      <c r="A1753" s="90"/>
      <c r="B1753" s="90"/>
      <c r="C1753" s="89"/>
      <c r="D1753" s="91"/>
      <c r="E1753" s="77"/>
    </row>
    <row r="1754" spans="1:5" s="75" customFormat="1">
      <c r="A1754" s="90"/>
      <c r="B1754" s="90"/>
      <c r="C1754" s="89"/>
      <c r="D1754" s="91"/>
      <c r="E1754" s="77"/>
    </row>
    <row r="1755" spans="1:5" s="75" customFormat="1">
      <c r="A1755" s="90"/>
      <c r="B1755" s="90"/>
      <c r="C1755" s="89"/>
      <c r="D1755" s="91"/>
      <c r="E1755" s="77"/>
    </row>
    <row r="1756" spans="1:5" s="75" customFormat="1">
      <c r="A1756" s="90"/>
      <c r="B1756" s="90"/>
      <c r="C1756" s="89"/>
      <c r="D1756" s="91"/>
      <c r="E1756" s="77"/>
    </row>
    <row r="1757" spans="1:5" s="75" customFormat="1">
      <c r="A1757" s="90"/>
      <c r="B1757" s="90"/>
      <c r="C1757" s="89"/>
      <c r="D1757" s="91"/>
      <c r="E1757" s="77"/>
    </row>
    <row r="1758" spans="1:5" s="75" customFormat="1">
      <c r="A1758" s="90"/>
      <c r="B1758" s="90"/>
      <c r="C1758" s="89"/>
      <c r="D1758" s="91"/>
      <c r="E1758" s="77"/>
    </row>
    <row r="1759" spans="1:5" s="75" customFormat="1">
      <c r="A1759" s="90"/>
      <c r="B1759" s="90"/>
      <c r="C1759" s="89"/>
      <c r="D1759" s="91"/>
      <c r="E1759" s="77"/>
    </row>
    <row r="1760" spans="1:5" s="75" customFormat="1">
      <c r="A1760" s="90"/>
      <c r="B1760" s="90"/>
      <c r="C1760" s="89"/>
      <c r="D1760" s="91"/>
      <c r="E1760" s="77"/>
    </row>
    <row r="1761" spans="1:5" s="75" customFormat="1">
      <c r="A1761" s="90"/>
      <c r="B1761" s="90"/>
      <c r="C1761" s="89"/>
      <c r="D1761" s="91"/>
      <c r="E1761" s="77"/>
    </row>
    <row r="1762" spans="1:5" s="75" customFormat="1">
      <c r="A1762" s="90"/>
      <c r="B1762" s="90"/>
      <c r="C1762" s="89"/>
      <c r="D1762" s="91"/>
      <c r="E1762" s="77"/>
    </row>
    <row r="1763" spans="1:5" s="75" customFormat="1">
      <c r="A1763" s="90"/>
      <c r="B1763" s="90"/>
      <c r="C1763" s="89"/>
      <c r="D1763" s="91"/>
      <c r="E1763" s="77"/>
    </row>
    <row r="1764" spans="1:5" s="75" customFormat="1">
      <c r="A1764" s="90"/>
      <c r="B1764" s="90"/>
      <c r="C1764" s="89"/>
      <c r="D1764" s="91"/>
      <c r="E1764" s="77"/>
    </row>
    <row r="1765" spans="1:5" s="75" customFormat="1">
      <c r="A1765" s="90"/>
      <c r="B1765" s="90"/>
      <c r="C1765" s="89"/>
      <c r="D1765" s="91"/>
      <c r="E1765" s="77"/>
    </row>
    <row r="1766" spans="1:5" s="75" customFormat="1">
      <c r="A1766" s="90"/>
      <c r="B1766" s="90"/>
      <c r="C1766" s="89"/>
      <c r="D1766" s="91"/>
      <c r="E1766" s="77"/>
    </row>
    <row r="1767" spans="1:5" s="75" customFormat="1">
      <c r="A1767" s="90"/>
      <c r="B1767" s="90"/>
      <c r="C1767" s="89"/>
      <c r="D1767" s="91"/>
      <c r="E1767" s="77"/>
    </row>
    <row r="1768" spans="1:5" s="75" customFormat="1">
      <c r="A1768" s="90"/>
      <c r="B1768" s="90"/>
      <c r="C1768" s="89"/>
      <c r="D1768" s="91"/>
      <c r="E1768" s="77"/>
    </row>
    <row r="1769" spans="1:5" s="75" customFormat="1">
      <c r="A1769" s="90"/>
      <c r="B1769" s="90"/>
      <c r="C1769" s="89"/>
      <c r="D1769" s="91"/>
      <c r="E1769" s="77"/>
    </row>
    <row r="1770" spans="1:5" s="75" customFormat="1">
      <c r="A1770" s="90"/>
      <c r="B1770" s="90"/>
      <c r="C1770" s="89"/>
      <c r="D1770" s="91"/>
      <c r="E1770" s="77"/>
    </row>
    <row r="1771" spans="1:5" s="75" customFormat="1">
      <c r="A1771" s="90"/>
      <c r="B1771" s="90"/>
      <c r="C1771" s="89"/>
      <c r="D1771" s="91"/>
      <c r="E1771" s="77"/>
    </row>
    <row r="1772" spans="1:5" s="75" customFormat="1">
      <c r="A1772" s="90"/>
      <c r="B1772" s="90"/>
      <c r="C1772" s="89"/>
      <c r="D1772" s="91"/>
      <c r="E1772" s="77"/>
    </row>
    <row r="1773" spans="1:5" s="75" customFormat="1">
      <c r="A1773" s="90"/>
      <c r="B1773" s="90"/>
      <c r="C1773" s="89"/>
      <c r="D1773" s="91"/>
      <c r="E1773" s="77"/>
    </row>
    <row r="1774" spans="1:5" s="75" customFormat="1">
      <c r="A1774" s="90"/>
      <c r="B1774" s="90"/>
      <c r="C1774" s="89"/>
      <c r="D1774" s="91"/>
      <c r="E1774" s="77"/>
    </row>
    <row r="1775" spans="1:5" s="75" customFormat="1">
      <c r="A1775" s="90"/>
      <c r="B1775" s="90"/>
      <c r="C1775" s="89"/>
      <c r="D1775" s="91"/>
      <c r="E1775" s="77"/>
    </row>
    <row r="1776" spans="1:5" s="75" customFormat="1">
      <c r="A1776" s="90"/>
      <c r="B1776" s="90"/>
      <c r="C1776" s="89"/>
      <c r="D1776" s="91"/>
      <c r="E1776" s="77"/>
    </row>
    <row r="1777" spans="1:5" s="75" customFormat="1">
      <c r="A1777" s="90"/>
      <c r="B1777" s="90"/>
      <c r="C1777" s="89"/>
      <c r="D1777" s="91"/>
      <c r="E1777" s="77"/>
    </row>
    <row r="1778" spans="1:5" s="75" customFormat="1">
      <c r="A1778" s="90"/>
      <c r="B1778" s="90"/>
      <c r="C1778" s="89"/>
      <c r="D1778" s="91"/>
      <c r="E1778" s="77"/>
    </row>
    <row r="1779" spans="1:5" s="75" customFormat="1">
      <c r="A1779" s="90"/>
      <c r="B1779" s="90"/>
      <c r="C1779" s="89"/>
      <c r="D1779" s="91"/>
      <c r="E1779" s="77"/>
    </row>
    <row r="1780" spans="1:5" s="75" customFormat="1">
      <c r="A1780" s="90"/>
      <c r="B1780" s="90"/>
      <c r="C1780" s="89"/>
      <c r="D1780" s="91"/>
      <c r="E1780" s="77"/>
    </row>
    <row r="1781" spans="1:5" s="75" customFormat="1">
      <c r="A1781" s="90"/>
      <c r="B1781" s="90"/>
      <c r="C1781" s="89"/>
      <c r="D1781" s="91"/>
      <c r="E1781" s="77"/>
    </row>
    <row r="1782" spans="1:5" s="75" customFormat="1">
      <c r="A1782" s="90"/>
      <c r="B1782" s="90"/>
      <c r="C1782" s="89"/>
      <c r="D1782" s="91"/>
      <c r="E1782" s="77"/>
    </row>
    <row r="1783" spans="1:5" s="75" customFormat="1">
      <c r="A1783" s="90"/>
      <c r="B1783" s="90"/>
      <c r="C1783" s="89"/>
      <c r="D1783" s="91"/>
      <c r="E1783" s="77"/>
    </row>
    <row r="1784" spans="1:5" s="75" customFormat="1">
      <c r="A1784" s="90"/>
      <c r="B1784" s="90"/>
      <c r="C1784" s="89"/>
      <c r="D1784" s="91"/>
      <c r="E1784" s="77"/>
    </row>
    <row r="1785" spans="1:5" s="75" customFormat="1">
      <c r="A1785" s="90"/>
      <c r="B1785" s="90"/>
      <c r="C1785" s="89"/>
      <c r="D1785" s="91"/>
      <c r="E1785" s="77"/>
    </row>
    <row r="1786" spans="1:5" s="75" customFormat="1">
      <c r="A1786" s="90"/>
      <c r="B1786" s="90"/>
      <c r="C1786" s="89"/>
      <c r="D1786" s="91"/>
      <c r="E1786" s="77"/>
    </row>
    <row r="1787" spans="1:5" s="75" customFormat="1">
      <c r="A1787" s="90"/>
      <c r="B1787" s="90"/>
      <c r="C1787" s="89"/>
      <c r="D1787" s="91"/>
      <c r="E1787" s="77"/>
    </row>
    <row r="1788" spans="1:5" s="75" customFormat="1">
      <c r="A1788" s="90"/>
      <c r="B1788" s="90"/>
      <c r="C1788" s="89"/>
      <c r="D1788" s="91"/>
      <c r="E1788" s="77"/>
    </row>
    <row r="1789" spans="1:5" s="75" customFormat="1">
      <c r="A1789" s="90"/>
      <c r="B1789" s="90"/>
      <c r="C1789" s="89"/>
      <c r="D1789" s="91"/>
      <c r="E1789" s="77"/>
    </row>
    <row r="1790" spans="1:5" s="75" customFormat="1">
      <c r="A1790" s="90"/>
      <c r="B1790" s="90"/>
      <c r="C1790" s="89"/>
      <c r="D1790" s="91"/>
      <c r="E1790" s="77"/>
    </row>
    <row r="1791" spans="1:5" s="75" customFormat="1">
      <c r="A1791" s="90"/>
      <c r="B1791" s="90"/>
      <c r="C1791" s="89"/>
      <c r="D1791" s="91"/>
      <c r="E1791" s="77"/>
    </row>
    <row r="1792" spans="1:5" s="75" customFormat="1">
      <c r="A1792" s="90"/>
      <c r="B1792" s="90"/>
      <c r="C1792" s="89"/>
      <c r="D1792" s="91"/>
      <c r="E1792" s="77"/>
    </row>
    <row r="1793" spans="1:16" s="75" customFormat="1">
      <c r="A1793" s="90"/>
      <c r="B1793" s="90"/>
      <c r="C1793" s="89"/>
      <c r="D1793" s="91"/>
      <c r="E1793" s="77"/>
    </row>
    <row r="1794" spans="1:16" s="75" customFormat="1">
      <c r="A1794" s="90"/>
      <c r="B1794" s="90"/>
      <c r="C1794" s="89"/>
      <c r="D1794" s="91"/>
      <c r="E1794" s="77"/>
    </row>
    <row r="1795" spans="1:16" s="75" customFormat="1">
      <c r="A1795" s="90"/>
      <c r="B1795" s="90"/>
      <c r="C1795" s="89"/>
      <c r="D1795" s="91"/>
      <c r="E1795" s="77"/>
    </row>
    <row r="1796" spans="1:16" s="75" customFormat="1">
      <c r="A1796" s="90"/>
      <c r="B1796" s="90"/>
      <c r="C1796" s="89"/>
      <c r="D1796" s="91"/>
      <c r="E1796" s="77"/>
    </row>
    <row r="1797" spans="1:16" s="75" customFormat="1">
      <c r="A1797" s="90"/>
      <c r="B1797" s="90"/>
      <c r="C1797" s="89"/>
      <c r="D1797" s="91"/>
      <c r="E1797" s="77"/>
    </row>
    <row r="1798" spans="1:16" s="75" customFormat="1">
      <c r="A1798" s="90"/>
      <c r="B1798" s="90"/>
      <c r="C1798" s="89"/>
      <c r="D1798" s="91"/>
      <c r="E1798" s="77"/>
    </row>
    <row r="1799" spans="1:16" s="75" customFormat="1">
      <c r="A1799" s="90"/>
      <c r="B1799" s="90"/>
      <c r="C1799" s="89"/>
      <c r="D1799" s="91"/>
      <c r="E1799" s="77"/>
    </row>
    <row r="1800" spans="1:16" s="75" customFormat="1">
      <c r="A1800" s="90"/>
      <c r="B1800" s="90"/>
      <c r="C1800" s="89"/>
      <c r="D1800" s="91"/>
      <c r="E1800" s="77"/>
    </row>
    <row r="1801" spans="1:16" s="75" customFormat="1">
      <c r="A1801" s="90"/>
      <c r="B1801" s="90"/>
      <c r="C1801" s="89"/>
      <c r="D1801" s="91"/>
      <c r="E1801" s="77"/>
    </row>
    <row r="1802" spans="1:16">
      <c r="A1802" s="90"/>
      <c r="B1802" s="90"/>
      <c r="C1802" s="89"/>
      <c r="D1802" s="91"/>
      <c r="E1802" s="77"/>
      <c r="F1802" s="75"/>
      <c r="G1802" s="75"/>
      <c r="H1802" s="75"/>
      <c r="L1802" s="75"/>
      <c r="M1802" s="75"/>
      <c r="N1802" s="75"/>
      <c r="O1802" s="75"/>
      <c r="P1802" s="75"/>
    </row>
    <row r="1803" spans="1:16">
      <c r="A1803" s="90"/>
      <c r="B1803" s="90"/>
      <c r="C1803" s="89"/>
      <c r="D1803" s="91"/>
      <c r="E1803" s="77"/>
      <c r="F1803" s="75"/>
      <c r="G1803" s="75"/>
      <c r="H1803" s="75"/>
      <c r="L1803" s="75"/>
      <c r="M1803" s="75"/>
      <c r="N1803" s="75"/>
      <c r="O1803" s="75"/>
      <c r="P1803" s="75"/>
    </row>
    <row r="1804" spans="1:16">
      <c r="A1804" s="90"/>
      <c r="B1804" s="90"/>
      <c r="C1804" s="89"/>
      <c r="D1804" s="91"/>
      <c r="E1804" s="77"/>
      <c r="F1804" s="75"/>
      <c r="G1804" s="75"/>
      <c r="H1804" s="75"/>
      <c r="L1804" s="75"/>
      <c r="M1804" s="75"/>
      <c r="N1804" s="75"/>
      <c r="O1804" s="75"/>
      <c r="P1804" s="75"/>
    </row>
    <row r="1805" spans="1:16">
      <c r="A1805" s="90"/>
      <c r="B1805" s="90"/>
      <c r="C1805" s="89"/>
      <c r="D1805" s="91"/>
      <c r="E1805" s="77"/>
      <c r="F1805" s="75"/>
      <c r="G1805" s="75"/>
      <c r="H1805" s="75"/>
      <c r="L1805" s="75"/>
      <c r="M1805" s="75"/>
      <c r="N1805" s="75"/>
      <c r="O1805" s="75"/>
      <c r="P1805" s="75"/>
    </row>
    <row r="1806" spans="1:16">
      <c r="A1806" s="90"/>
      <c r="B1806" s="90"/>
      <c r="C1806" s="89"/>
      <c r="D1806" s="91"/>
      <c r="E1806" s="77"/>
      <c r="F1806" s="75"/>
      <c r="G1806" s="75"/>
      <c r="H1806" s="75"/>
      <c r="L1806" s="75"/>
      <c r="M1806" s="75"/>
      <c r="N1806" s="75"/>
      <c r="O1806" s="75"/>
      <c r="P1806" s="75"/>
    </row>
    <row r="1807" spans="1:16">
      <c r="A1807" s="90"/>
      <c r="B1807" s="90"/>
      <c r="C1807" s="89"/>
      <c r="D1807" s="91"/>
      <c r="E1807" s="77"/>
      <c r="F1807" s="75"/>
      <c r="G1807" s="75"/>
      <c r="H1807" s="75"/>
      <c r="L1807" s="75"/>
      <c r="M1807" s="75"/>
      <c r="N1807" s="75"/>
      <c r="O1807" s="75"/>
      <c r="P1807" s="75"/>
    </row>
    <row r="1808" spans="1:16">
      <c r="A1808" s="90"/>
      <c r="B1808" s="90"/>
      <c r="C1808" s="89"/>
      <c r="D1808" s="91"/>
      <c r="E1808" s="77"/>
      <c r="F1808" s="75"/>
      <c r="G1808" s="75"/>
      <c r="H1808" s="75"/>
      <c r="L1808" s="75"/>
      <c r="M1808" s="75"/>
      <c r="N1808" s="75"/>
      <c r="O1808" s="75"/>
      <c r="P1808" s="75"/>
    </row>
    <row r="1809" spans="1:16">
      <c r="A1809" s="90"/>
      <c r="B1809" s="90"/>
      <c r="C1809" s="89"/>
      <c r="D1809" s="91"/>
      <c r="E1809" s="77"/>
      <c r="F1809" s="75"/>
      <c r="G1809" s="75"/>
      <c r="H1809" s="75"/>
      <c r="L1809" s="75"/>
      <c r="M1809" s="75"/>
      <c r="N1809" s="75"/>
      <c r="O1809" s="75"/>
      <c r="P1809" s="75"/>
    </row>
    <row r="1810" spans="1:16">
      <c r="A1810" s="90"/>
      <c r="B1810" s="90"/>
      <c r="C1810" s="89"/>
      <c r="D1810" s="91"/>
      <c r="E1810" s="77"/>
      <c r="F1810" s="75"/>
      <c r="G1810" s="75"/>
      <c r="H1810" s="75"/>
      <c r="L1810" s="75"/>
      <c r="M1810" s="75"/>
      <c r="N1810" s="75"/>
      <c r="O1810" s="75"/>
      <c r="P1810" s="75"/>
    </row>
    <row r="1811" spans="1:16">
      <c r="A1811" s="90"/>
      <c r="B1811" s="90"/>
      <c r="C1811" s="89"/>
      <c r="D1811" s="91"/>
      <c r="E1811" s="77"/>
      <c r="F1811" s="75"/>
      <c r="G1811" s="75"/>
      <c r="H1811" s="75"/>
      <c r="L1811" s="75"/>
      <c r="M1811" s="75"/>
      <c r="N1811" s="75"/>
      <c r="O1811" s="75"/>
      <c r="P1811" s="75"/>
    </row>
    <row r="1812" spans="1:16">
      <c r="A1812" s="90"/>
      <c r="B1812" s="90"/>
      <c r="C1812" s="89"/>
      <c r="D1812" s="91"/>
      <c r="E1812" s="77"/>
      <c r="F1812" s="75"/>
      <c r="G1812" s="75"/>
      <c r="H1812" s="75"/>
      <c r="L1812" s="75"/>
      <c r="M1812" s="75"/>
      <c r="N1812" s="75"/>
      <c r="O1812" s="75"/>
      <c r="P1812" s="75"/>
    </row>
    <row r="1813" spans="1:16">
      <c r="A1813" s="90"/>
      <c r="B1813" s="90"/>
      <c r="C1813" s="89"/>
      <c r="D1813" s="91"/>
      <c r="E1813" s="77"/>
      <c r="F1813" s="75"/>
      <c r="G1813" s="75"/>
      <c r="H1813" s="75"/>
      <c r="L1813" s="75"/>
      <c r="M1813" s="75"/>
      <c r="N1813" s="75"/>
      <c r="O1813" s="75"/>
      <c r="P1813" s="75"/>
    </row>
    <row r="1814" spans="1:16">
      <c r="A1814" s="90"/>
      <c r="B1814" s="90"/>
      <c r="C1814" s="89"/>
      <c r="D1814" s="91"/>
      <c r="E1814" s="77"/>
      <c r="F1814" s="75"/>
      <c r="G1814" s="75"/>
      <c r="H1814" s="75"/>
      <c r="L1814" s="75"/>
      <c r="M1814" s="75"/>
      <c r="N1814" s="75"/>
      <c r="O1814" s="75"/>
      <c r="P1814" s="75"/>
    </row>
    <row r="1815" spans="1:16">
      <c r="A1815" s="90"/>
      <c r="B1815" s="90"/>
      <c r="C1815" s="89"/>
      <c r="D1815" s="91"/>
      <c r="E1815" s="77"/>
      <c r="F1815" s="75"/>
      <c r="G1815" s="75"/>
      <c r="H1815" s="75"/>
      <c r="L1815" s="75"/>
      <c r="M1815" s="75"/>
      <c r="N1815" s="75"/>
      <c r="O1815" s="75"/>
      <c r="P1815" s="75"/>
    </row>
    <row r="1816" spans="1:16">
      <c r="A1816" s="90"/>
      <c r="B1816" s="90"/>
      <c r="C1816" s="89"/>
      <c r="D1816" s="91"/>
      <c r="E1816" s="77"/>
      <c r="F1816" s="75"/>
      <c r="G1816" s="75"/>
      <c r="H1816" s="75"/>
      <c r="L1816" s="75"/>
      <c r="M1816" s="75"/>
      <c r="N1816" s="75"/>
      <c r="O1816" s="75"/>
      <c r="P1816" s="75"/>
    </row>
    <row r="1817" spans="1:16">
      <c r="A1817" s="90"/>
      <c r="B1817" s="90"/>
      <c r="C1817" s="89"/>
      <c r="D1817" s="91"/>
      <c r="E1817" s="77"/>
      <c r="F1817" s="75"/>
      <c r="G1817" s="75"/>
      <c r="H1817" s="75"/>
      <c r="L1817" s="75"/>
      <c r="M1817" s="75"/>
      <c r="N1817" s="75"/>
      <c r="O1817" s="75"/>
      <c r="P1817" s="75"/>
    </row>
    <row r="1818" spans="1:16">
      <c r="A1818" s="90"/>
      <c r="B1818" s="90"/>
      <c r="C1818" s="89"/>
      <c r="D1818" s="91"/>
      <c r="E1818" s="77"/>
      <c r="F1818" s="75"/>
      <c r="G1818" s="75"/>
      <c r="H1818" s="75"/>
      <c r="L1818" s="75"/>
      <c r="M1818" s="75"/>
      <c r="N1818" s="75"/>
      <c r="O1818" s="75"/>
      <c r="P1818" s="75"/>
    </row>
    <row r="1819" spans="1:16">
      <c r="A1819" s="90"/>
      <c r="B1819" s="90"/>
      <c r="C1819" s="89"/>
      <c r="D1819" s="91"/>
      <c r="E1819" s="77"/>
      <c r="F1819" s="75"/>
      <c r="G1819" s="75"/>
      <c r="H1819" s="75"/>
      <c r="L1819" s="75"/>
      <c r="M1819" s="75"/>
      <c r="N1819" s="75"/>
      <c r="O1819" s="75"/>
      <c r="P1819" s="75"/>
    </row>
    <row r="1820" spans="1:16">
      <c r="A1820" s="90"/>
      <c r="B1820" s="90"/>
      <c r="C1820" s="89"/>
      <c r="D1820" s="91"/>
      <c r="E1820" s="77"/>
      <c r="F1820" s="75"/>
      <c r="G1820" s="75"/>
      <c r="H1820" s="75"/>
      <c r="L1820" s="75"/>
      <c r="M1820" s="75"/>
      <c r="N1820" s="75"/>
      <c r="O1820" s="75"/>
      <c r="P1820" s="75"/>
    </row>
    <row r="1821" spans="1:16">
      <c r="A1821" s="90"/>
      <c r="B1821" s="90"/>
      <c r="C1821" s="89"/>
      <c r="D1821" s="91"/>
      <c r="E1821" s="77"/>
      <c r="F1821" s="75"/>
      <c r="G1821" s="75"/>
      <c r="H1821" s="75"/>
      <c r="L1821" s="75"/>
      <c r="M1821" s="75"/>
      <c r="N1821" s="75"/>
      <c r="O1821" s="75"/>
      <c r="P1821" s="75"/>
    </row>
    <row r="1822" spans="1:16">
      <c r="A1822" s="90"/>
      <c r="B1822" s="90"/>
      <c r="C1822" s="89"/>
      <c r="D1822" s="91"/>
      <c r="E1822" s="77"/>
      <c r="F1822" s="75"/>
      <c r="G1822" s="75"/>
      <c r="H1822" s="75"/>
      <c r="L1822" s="75"/>
      <c r="M1822" s="75"/>
      <c r="N1822" s="75"/>
      <c r="O1822" s="75"/>
      <c r="P1822" s="75"/>
    </row>
    <row r="1823" spans="1:16">
      <c r="A1823" s="90"/>
      <c r="B1823" s="90"/>
      <c r="C1823" s="89"/>
      <c r="D1823" s="91"/>
      <c r="E1823" s="77"/>
      <c r="F1823" s="75"/>
      <c r="G1823" s="75"/>
      <c r="H1823" s="75"/>
      <c r="L1823" s="75"/>
      <c r="M1823" s="75"/>
      <c r="N1823" s="75"/>
      <c r="O1823" s="75"/>
      <c r="P1823" s="75"/>
    </row>
    <row r="1824" spans="1:16">
      <c r="A1824" s="90"/>
      <c r="B1824" s="90"/>
      <c r="C1824" s="89"/>
      <c r="D1824" s="91"/>
      <c r="E1824" s="77"/>
      <c r="F1824" s="75"/>
      <c r="G1824" s="75"/>
      <c r="H1824" s="75"/>
      <c r="L1824" s="75"/>
      <c r="M1824" s="75"/>
      <c r="N1824" s="75"/>
      <c r="O1824" s="75"/>
      <c r="P1824" s="75"/>
    </row>
    <row r="1825" spans="1:16">
      <c r="A1825" s="90"/>
      <c r="B1825" s="90"/>
      <c r="C1825" s="89"/>
      <c r="D1825" s="91"/>
      <c r="E1825" s="77"/>
      <c r="F1825" s="75"/>
      <c r="G1825" s="75"/>
      <c r="H1825" s="75"/>
      <c r="L1825" s="75"/>
      <c r="M1825" s="75"/>
      <c r="N1825" s="75"/>
      <c r="O1825" s="75"/>
      <c r="P1825" s="75"/>
    </row>
    <row r="1826" spans="1:16">
      <c r="A1826" s="90"/>
      <c r="B1826" s="90"/>
      <c r="C1826" s="89"/>
      <c r="D1826" s="91"/>
      <c r="E1826" s="77"/>
      <c r="F1826" s="75"/>
      <c r="G1826" s="75"/>
      <c r="H1826" s="75"/>
      <c r="L1826" s="75"/>
      <c r="M1826" s="75"/>
      <c r="N1826" s="75"/>
      <c r="O1826" s="75"/>
      <c r="P1826" s="75"/>
    </row>
    <row r="1827" spans="1:16">
      <c r="A1827" s="90"/>
      <c r="B1827" s="90"/>
      <c r="C1827" s="89"/>
      <c r="D1827" s="91"/>
      <c r="E1827" s="77"/>
      <c r="F1827" s="75"/>
      <c r="G1827" s="75"/>
      <c r="H1827" s="75"/>
      <c r="L1827" s="75"/>
      <c r="M1827" s="75"/>
      <c r="N1827" s="75"/>
      <c r="O1827" s="75"/>
      <c r="P1827" s="75"/>
    </row>
    <row r="1828" spans="1:16">
      <c r="A1828" s="90"/>
      <c r="B1828" s="90"/>
      <c r="C1828" s="89"/>
      <c r="D1828" s="91"/>
      <c r="E1828" s="77"/>
      <c r="F1828" s="75"/>
      <c r="G1828" s="75"/>
      <c r="H1828" s="75"/>
      <c r="L1828" s="75"/>
      <c r="M1828" s="75"/>
      <c r="N1828" s="75"/>
      <c r="O1828" s="75"/>
      <c r="P1828" s="75"/>
    </row>
    <row r="1829" spans="1:16">
      <c r="A1829" s="90"/>
      <c r="B1829" s="90"/>
      <c r="C1829" s="89"/>
      <c r="D1829" s="91"/>
      <c r="E1829" s="77"/>
      <c r="F1829" s="75"/>
      <c r="G1829" s="75"/>
      <c r="H1829" s="75"/>
      <c r="L1829" s="75"/>
      <c r="M1829" s="75"/>
      <c r="N1829" s="75"/>
      <c r="O1829" s="75"/>
      <c r="P1829" s="75"/>
    </row>
    <row r="1830" spans="1:16">
      <c r="A1830" s="90"/>
      <c r="B1830" s="90"/>
      <c r="C1830" s="89"/>
      <c r="D1830" s="91"/>
      <c r="E1830" s="77"/>
      <c r="F1830" s="75"/>
      <c r="G1830" s="75"/>
      <c r="H1830" s="75"/>
      <c r="L1830" s="75"/>
      <c r="M1830" s="75"/>
      <c r="N1830" s="75"/>
      <c r="O1830" s="75"/>
      <c r="P1830" s="75"/>
    </row>
    <row r="1831" spans="1:16">
      <c r="A1831" s="90"/>
      <c r="B1831" s="90"/>
      <c r="C1831" s="89"/>
      <c r="D1831" s="91"/>
      <c r="E1831" s="77"/>
      <c r="F1831" s="75"/>
      <c r="G1831" s="75"/>
      <c r="H1831" s="75"/>
      <c r="L1831" s="75"/>
      <c r="M1831" s="75"/>
      <c r="N1831" s="75"/>
      <c r="O1831" s="75"/>
      <c r="P1831" s="75"/>
    </row>
    <row r="1832" spans="1:16">
      <c r="A1832" s="90"/>
      <c r="B1832" s="90"/>
      <c r="C1832" s="89"/>
      <c r="D1832" s="91"/>
      <c r="E1832" s="77"/>
      <c r="F1832" s="75"/>
      <c r="G1832" s="75"/>
      <c r="H1832" s="75"/>
      <c r="L1832" s="75"/>
      <c r="M1832" s="75"/>
      <c r="N1832" s="75"/>
      <c r="O1832" s="75"/>
      <c r="P1832" s="75"/>
    </row>
    <row r="1833" spans="1:16">
      <c r="A1833" s="90"/>
      <c r="B1833" s="90"/>
      <c r="C1833" s="89"/>
      <c r="D1833" s="91"/>
      <c r="E1833" s="77"/>
      <c r="F1833" s="75"/>
      <c r="G1833" s="75"/>
      <c r="H1833" s="75"/>
      <c r="L1833" s="75"/>
      <c r="M1833" s="75"/>
      <c r="N1833" s="75"/>
      <c r="O1833" s="75"/>
      <c r="P1833" s="75"/>
    </row>
    <row r="1834" spans="1:16">
      <c r="A1834" s="90"/>
      <c r="B1834" s="90"/>
      <c r="C1834" s="89"/>
      <c r="D1834" s="91"/>
      <c r="E1834" s="77"/>
      <c r="F1834" s="75"/>
      <c r="G1834" s="75"/>
      <c r="H1834" s="75"/>
      <c r="L1834" s="75"/>
      <c r="M1834" s="75"/>
      <c r="N1834" s="75"/>
      <c r="O1834" s="75"/>
      <c r="P1834" s="75"/>
    </row>
    <row r="1835" spans="1:16">
      <c r="A1835" s="90"/>
      <c r="B1835" s="90"/>
      <c r="C1835" s="89"/>
      <c r="D1835" s="91"/>
      <c r="E1835" s="77"/>
      <c r="F1835" s="75"/>
      <c r="G1835" s="75"/>
      <c r="H1835" s="75"/>
      <c r="L1835" s="75"/>
      <c r="M1835" s="75"/>
      <c r="N1835" s="75"/>
      <c r="O1835" s="75"/>
      <c r="P1835" s="75"/>
    </row>
    <row r="1836" spans="1:16">
      <c r="A1836" s="90"/>
      <c r="B1836" s="90"/>
      <c r="C1836" s="89"/>
      <c r="D1836" s="91"/>
      <c r="E1836" s="77"/>
      <c r="F1836" s="75"/>
      <c r="G1836" s="75"/>
      <c r="H1836" s="75"/>
      <c r="L1836" s="75"/>
      <c r="M1836" s="75"/>
      <c r="N1836" s="75"/>
      <c r="O1836" s="75"/>
      <c r="P1836" s="75"/>
    </row>
    <row r="1837" spans="1:16">
      <c r="A1837" s="90"/>
      <c r="B1837" s="90"/>
      <c r="C1837" s="89"/>
      <c r="D1837" s="91"/>
      <c r="E1837" s="77"/>
      <c r="F1837" s="75"/>
      <c r="G1837" s="75"/>
      <c r="H1837" s="75"/>
      <c r="L1837" s="75"/>
      <c r="M1837" s="75"/>
      <c r="N1837" s="75"/>
      <c r="O1837" s="75"/>
      <c r="P1837" s="75"/>
    </row>
    <row r="1838" spans="1:16">
      <c r="A1838" s="90"/>
      <c r="B1838" s="90"/>
      <c r="C1838" s="89"/>
      <c r="D1838" s="91"/>
      <c r="E1838" s="77"/>
      <c r="F1838" s="75"/>
      <c r="G1838" s="75"/>
      <c r="H1838" s="75"/>
      <c r="L1838" s="75"/>
      <c r="M1838" s="75"/>
      <c r="N1838" s="75"/>
      <c r="O1838" s="75"/>
      <c r="P1838" s="75"/>
    </row>
    <row r="1839" spans="1:16">
      <c r="A1839" s="90"/>
      <c r="B1839" s="90"/>
      <c r="C1839" s="89"/>
      <c r="D1839" s="91"/>
      <c r="E1839" s="77"/>
      <c r="F1839" s="75"/>
      <c r="G1839" s="75"/>
      <c r="H1839" s="75"/>
      <c r="L1839" s="75"/>
      <c r="M1839" s="75"/>
      <c r="N1839" s="75"/>
      <c r="O1839" s="75"/>
      <c r="P1839" s="75"/>
    </row>
    <row r="1840" spans="1:16">
      <c r="A1840" s="90"/>
      <c r="B1840" s="90"/>
      <c r="C1840" s="89"/>
      <c r="D1840" s="91"/>
      <c r="E1840" s="77"/>
      <c r="F1840" s="75"/>
      <c r="G1840" s="75"/>
      <c r="H1840" s="75"/>
      <c r="L1840" s="75"/>
      <c r="M1840" s="75"/>
      <c r="N1840" s="75"/>
      <c r="O1840" s="75"/>
      <c r="P1840" s="75"/>
    </row>
    <row r="1841" spans="1:16">
      <c r="A1841" s="90"/>
      <c r="B1841" s="90"/>
      <c r="C1841" s="89"/>
      <c r="D1841" s="91"/>
      <c r="E1841" s="77"/>
      <c r="F1841" s="75"/>
      <c r="G1841" s="75"/>
      <c r="H1841" s="75"/>
      <c r="L1841" s="75"/>
      <c r="M1841" s="75"/>
      <c r="N1841" s="75"/>
      <c r="O1841" s="75"/>
      <c r="P1841" s="75"/>
    </row>
    <row r="1842" spans="1:16">
      <c r="A1842" s="90"/>
      <c r="B1842" s="90"/>
      <c r="C1842" s="89"/>
      <c r="D1842" s="91"/>
      <c r="E1842" s="77"/>
      <c r="F1842" s="75"/>
      <c r="G1842" s="75"/>
      <c r="H1842" s="75"/>
      <c r="L1842" s="75"/>
      <c r="M1842" s="75"/>
      <c r="N1842" s="75"/>
      <c r="O1842" s="75"/>
      <c r="P1842" s="75"/>
    </row>
    <row r="1843" spans="1:16">
      <c r="A1843" s="90"/>
      <c r="B1843" s="90"/>
      <c r="C1843" s="89"/>
      <c r="D1843" s="91"/>
      <c r="E1843" s="77"/>
      <c r="F1843" s="75"/>
      <c r="G1843" s="75"/>
      <c r="H1843" s="75"/>
      <c r="L1843" s="75"/>
      <c r="M1843" s="75"/>
      <c r="N1843" s="75"/>
      <c r="O1843" s="75"/>
      <c r="P1843" s="75"/>
    </row>
    <row r="1844" spans="1:16">
      <c r="A1844" s="90"/>
      <c r="B1844" s="90"/>
      <c r="C1844" s="89"/>
      <c r="D1844" s="91"/>
      <c r="E1844" s="77"/>
      <c r="F1844" s="75"/>
      <c r="G1844" s="75"/>
      <c r="H1844" s="75"/>
      <c r="L1844" s="75"/>
      <c r="M1844" s="75"/>
      <c r="N1844" s="75"/>
      <c r="O1844" s="75"/>
      <c r="P1844" s="75"/>
    </row>
    <row r="1845" spans="1:16">
      <c r="A1845" s="90"/>
      <c r="B1845" s="90"/>
      <c r="C1845" s="89"/>
      <c r="D1845" s="91"/>
      <c r="E1845" s="77"/>
      <c r="F1845" s="75"/>
      <c r="G1845" s="75"/>
      <c r="H1845" s="75"/>
      <c r="L1845" s="75"/>
      <c r="M1845" s="75"/>
      <c r="N1845" s="75"/>
      <c r="O1845" s="75"/>
      <c r="P1845" s="75"/>
    </row>
    <row r="1846" spans="1:16">
      <c r="A1846" s="90"/>
      <c r="B1846" s="90"/>
      <c r="C1846" s="89"/>
      <c r="D1846" s="91"/>
      <c r="E1846" s="77"/>
      <c r="F1846" s="75"/>
      <c r="G1846" s="75"/>
      <c r="H1846" s="75"/>
    </row>
    <row r="1847" spans="1:16">
      <c r="A1847" s="90"/>
      <c r="B1847" s="90"/>
      <c r="C1847" s="89"/>
      <c r="D1847" s="91"/>
      <c r="E1847" s="77"/>
      <c r="F1847" s="75"/>
      <c r="G1847" s="75"/>
      <c r="H1847" s="75"/>
    </row>
    <row r="1848" spans="1:16">
      <c r="A1848" s="90"/>
      <c r="B1848" s="90"/>
      <c r="C1848" s="89"/>
      <c r="D1848" s="91"/>
      <c r="E1848" s="77"/>
      <c r="F1848" s="75"/>
      <c r="G1848" s="75"/>
      <c r="H1848" s="75"/>
    </row>
    <row r="1849" spans="1:16">
      <c r="A1849" s="90"/>
      <c r="B1849" s="90"/>
      <c r="C1849" s="89"/>
      <c r="D1849" s="91"/>
      <c r="E1849" s="77"/>
      <c r="F1849" s="75"/>
      <c r="G1849" s="75"/>
      <c r="H1849" s="75"/>
    </row>
    <row r="1850" spans="1:16">
      <c r="A1850" s="90"/>
      <c r="B1850" s="90"/>
      <c r="C1850" s="89"/>
      <c r="D1850" s="91"/>
      <c r="E1850" s="77"/>
      <c r="F1850" s="75"/>
      <c r="G1850" s="75"/>
      <c r="H1850" s="75"/>
    </row>
    <row r="1851" spans="1:16">
      <c r="A1851" s="90"/>
      <c r="B1851" s="90"/>
      <c r="C1851" s="89"/>
      <c r="D1851" s="91"/>
      <c r="E1851" s="77"/>
      <c r="F1851" s="75"/>
      <c r="G1851" s="75"/>
      <c r="H1851" s="75"/>
    </row>
    <row r="1852" spans="1:16">
      <c r="A1852" s="90"/>
      <c r="B1852" s="90"/>
      <c r="C1852" s="89"/>
      <c r="D1852" s="91"/>
      <c r="E1852" s="77"/>
      <c r="F1852" s="75"/>
      <c r="G1852" s="75"/>
      <c r="H1852" s="75"/>
    </row>
    <row r="1853" spans="1:16">
      <c r="A1853" s="90"/>
      <c r="B1853" s="90"/>
      <c r="C1853" s="89"/>
      <c r="D1853" s="91"/>
      <c r="E1853" s="77"/>
      <c r="F1853" s="75"/>
      <c r="G1853" s="75"/>
      <c r="H1853" s="75"/>
    </row>
    <row r="1854" spans="1:16">
      <c r="A1854" s="90"/>
      <c r="B1854" s="90"/>
      <c r="C1854" s="89"/>
      <c r="D1854" s="91"/>
      <c r="E1854" s="77"/>
      <c r="F1854" s="75"/>
      <c r="G1854" s="75"/>
      <c r="H1854" s="75"/>
    </row>
    <row r="1855" spans="1:16">
      <c r="A1855" s="90"/>
      <c r="B1855" s="90"/>
      <c r="C1855" s="89"/>
      <c r="D1855" s="91"/>
      <c r="E1855" s="77"/>
      <c r="F1855" s="75"/>
      <c r="G1855" s="75"/>
      <c r="H1855" s="75"/>
    </row>
    <row r="1856" spans="1:16">
      <c r="A1856" s="90"/>
      <c r="B1856" s="90"/>
      <c r="C1856" s="89"/>
      <c r="D1856" s="91"/>
      <c r="E1856" s="77"/>
      <c r="F1856" s="75"/>
      <c r="G1856" s="75"/>
      <c r="H1856" s="75"/>
    </row>
    <row r="1857" spans="1:8">
      <c r="A1857" s="90"/>
      <c r="B1857" s="90"/>
      <c r="C1857" s="89"/>
      <c r="D1857" s="91"/>
      <c r="E1857" s="77"/>
      <c r="F1857" s="75"/>
      <c r="G1857" s="75"/>
      <c r="H1857" s="75"/>
    </row>
    <row r="1858" spans="1:8">
      <c r="A1858" s="90"/>
      <c r="B1858" s="90"/>
      <c r="C1858" s="89"/>
      <c r="D1858" s="91"/>
      <c r="E1858" s="77"/>
      <c r="F1858" s="75"/>
      <c r="G1858" s="75"/>
      <c r="H1858" s="75"/>
    </row>
    <row r="1859" spans="1:8">
      <c r="A1859" s="90"/>
      <c r="B1859" s="90"/>
      <c r="C1859" s="89"/>
      <c r="D1859" s="91"/>
      <c r="E1859" s="77"/>
      <c r="F1859" s="75"/>
      <c r="G1859" s="75"/>
      <c r="H1859" s="75"/>
    </row>
    <row r="1860" spans="1:8">
      <c r="A1860" s="90"/>
      <c r="B1860" s="90"/>
      <c r="C1860" s="89"/>
      <c r="D1860" s="91"/>
      <c r="E1860" s="77"/>
      <c r="F1860" s="75"/>
      <c r="G1860" s="75"/>
      <c r="H1860" s="75"/>
    </row>
    <row r="1861" spans="1:8">
      <c r="A1861" s="90"/>
      <c r="B1861" s="90"/>
      <c r="C1861" s="89"/>
      <c r="D1861" s="91"/>
      <c r="E1861" s="77"/>
      <c r="F1861" s="75"/>
      <c r="G1861" s="75"/>
      <c r="H1861" s="75"/>
    </row>
    <row r="1862" spans="1:8">
      <c r="A1862" s="90"/>
      <c r="B1862" s="90"/>
      <c r="C1862" s="89"/>
      <c r="D1862" s="91"/>
      <c r="E1862" s="77"/>
      <c r="F1862" s="75"/>
      <c r="G1862" s="75"/>
      <c r="H1862" s="75"/>
    </row>
    <row r="1863" spans="1:8">
      <c r="A1863" s="90"/>
      <c r="B1863" s="90"/>
      <c r="C1863" s="89"/>
      <c r="D1863" s="91"/>
      <c r="E1863" s="77"/>
      <c r="F1863" s="75"/>
      <c r="G1863" s="75"/>
      <c r="H1863" s="75"/>
    </row>
    <row r="1864" spans="1:8">
      <c r="A1864" s="90"/>
      <c r="B1864" s="90"/>
      <c r="C1864" s="89"/>
      <c r="D1864" s="91"/>
      <c r="E1864" s="77"/>
      <c r="F1864" s="75"/>
      <c r="G1864" s="75"/>
      <c r="H1864" s="75"/>
    </row>
    <row r="1865" spans="1:8">
      <c r="A1865" s="90"/>
      <c r="B1865" s="90"/>
      <c r="C1865" s="89"/>
      <c r="D1865" s="91"/>
      <c r="E1865" s="77"/>
      <c r="F1865" s="75"/>
      <c r="G1865" s="75"/>
      <c r="H1865" s="75"/>
    </row>
    <row r="1866" spans="1:8">
      <c r="A1866" s="90"/>
      <c r="B1866" s="90"/>
      <c r="C1866" s="89"/>
      <c r="D1866" s="91"/>
      <c r="E1866" s="77"/>
      <c r="F1866" s="75"/>
      <c r="G1866" s="75"/>
      <c r="H1866" s="75"/>
    </row>
    <row r="1867" spans="1:8">
      <c r="A1867" s="90"/>
      <c r="B1867" s="90"/>
      <c r="C1867" s="89"/>
      <c r="D1867" s="91"/>
      <c r="E1867" s="77"/>
      <c r="F1867" s="75"/>
      <c r="G1867" s="75"/>
      <c r="H1867" s="75"/>
    </row>
    <row r="1868" spans="1:8">
      <c r="A1868" s="90"/>
      <c r="B1868" s="90"/>
      <c r="C1868" s="89"/>
      <c r="D1868" s="91"/>
      <c r="E1868" s="77"/>
      <c r="F1868" s="75"/>
      <c r="G1868" s="75"/>
      <c r="H1868" s="75"/>
    </row>
    <row r="1869" spans="1:8">
      <c r="A1869" s="90"/>
      <c r="B1869" s="90"/>
      <c r="C1869" s="89"/>
      <c r="D1869" s="91"/>
      <c r="E1869" s="77"/>
      <c r="F1869" s="75"/>
      <c r="G1869" s="75"/>
      <c r="H1869" s="75"/>
    </row>
    <row r="1870" spans="1:8">
      <c r="A1870" s="90"/>
      <c r="B1870" s="90"/>
      <c r="C1870" s="89"/>
      <c r="D1870" s="91"/>
      <c r="E1870" s="77"/>
      <c r="F1870" s="75"/>
      <c r="G1870" s="75"/>
      <c r="H1870" s="75"/>
    </row>
    <row r="1871" spans="1:8">
      <c r="A1871" s="90"/>
      <c r="B1871" s="90"/>
      <c r="C1871" s="89"/>
      <c r="D1871" s="91"/>
      <c r="E1871" s="77"/>
      <c r="F1871" s="75"/>
      <c r="G1871" s="75"/>
      <c r="H1871" s="75"/>
    </row>
    <row r="1872" spans="1:8">
      <c r="A1872" s="90"/>
      <c r="B1872" s="90"/>
      <c r="C1872" s="89"/>
      <c r="D1872" s="91"/>
      <c r="E1872" s="77"/>
      <c r="F1872" s="75"/>
      <c r="G1872" s="75"/>
      <c r="H1872" s="75"/>
    </row>
    <row r="1873" spans="1:8">
      <c r="A1873" s="90"/>
      <c r="B1873" s="90"/>
      <c r="C1873" s="89"/>
      <c r="D1873" s="91"/>
      <c r="E1873" s="77"/>
      <c r="F1873" s="75"/>
      <c r="G1873" s="75"/>
      <c r="H1873" s="75"/>
    </row>
    <row r="1874" spans="1:8">
      <c r="A1874" s="90"/>
      <c r="B1874" s="90"/>
      <c r="C1874" s="89"/>
      <c r="D1874" s="91"/>
      <c r="E1874" s="77"/>
      <c r="F1874" s="75"/>
      <c r="G1874" s="75"/>
      <c r="H1874" s="75"/>
    </row>
    <row r="1875" spans="1:8">
      <c r="A1875" s="90"/>
      <c r="B1875" s="90"/>
      <c r="C1875" s="89"/>
      <c r="D1875" s="91"/>
      <c r="E1875" s="77"/>
      <c r="F1875" s="75"/>
      <c r="G1875" s="75"/>
      <c r="H1875" s="75"/>
    </row>
    <row r="1876" spans="1:8">
      <c r="A1876" s="90"/>
      <c r="B1876" s="90"/>
      <c r="C1876" s="89"/>
      <c r="D1876" s="91"/>
      <c r="E1876" s="77"/>
      <c r="F1876" s="75"/>
      <c r="G1876" s="75"/>
      <c r="H1876" s="75"/>
    </row>
    <row r="1877" spans="1:8">
      <c r="A1877" s="90"/>
      <c r="B1877" s="90"/>
      <c r="C1877" s="89"/>
      <c r="D1877" s="91"/>
      <c r="E1877" s="77"/>
      <c r="F1877" s="75"/>
      <c r="G1877" s="75"/>
      <c r="H1877" s="75"/>
    </row>
    <row r="1878" spans="1:8">
      <c r="A1878" s="90"/>
      <c r="B1878" s="90"/>
      <c r="C1878" s="89"/>
      <c r="D1878" s="91"/>
      <c r="E1878" s="77"/>
      <c r="F1878" s="75"/>
      <c r="G1878" s="75"/>
      <c r="H1878" s="75"/>
    </row>
    <row r="1879" spans="1:8">
      <c r="A1879" s="90"/>
      <c r="B1879" s="90"/>
      <c r="C1879" s="89"/>
      <c r="D1879" s="91"/>
      <c r="E1879" s="77"/>
      <c r="F1879" s="75"/>
      <c r="G1879" s="75"/>
      <c r="H1879" s="75"/>
    </row>
    <row r="1880" spans="1:8">
      <c r="A1880" s="90"/>
      <c r="B1880" s="90"/>
      <c r="C1880" s="89"/>
      <c r="D1880" s="91"/>
      <c r="E1880" s="77"/>
      <c r="F1880" s="75"/>
      <c r="G1880" s="75"/>
      <c r="H1880" s="75"/>
    </row>
    <row r="1048136" spans="12:12">
      <c r="L1048136" s="75"/>
    </row>
  </sheetData>
  <autoFilter ref="A7:P624" xr:uid="{68FB533D-29FD-4839-80E8-B816733DA312}"/>
  <sortState xmlns:xlrd2="http://schemas.microsoft.com/office/spreadsheetml/2017/richdata2" ref="A8:I1210">
    <sortCondition ref="C8:C1210"/>
  </sortState>
  <mergeCells count="4">
    <mergeCell ref="E1:H1"/>
    <mergeCell ref="A1:B1"/>
    <mergeCell ref="A6:H6"/>
    <mergeCell ref="M6:P6"/>
  </mergeCells>
  <phoneticPr fontId="18" type="noConversion"/>
  <conditionalFormatting sqref="I8:K1048576">
    <cfRule type="cellIs" dxfId="0" priority="1" operator="equal">
      <formula>FALSE</formula>
    </cfRule>
  </conditionalFormatting>
  <pageMargins left="0.7" right="0.7" top="0.75" bottom="0.75" header="0.3" footer="0.3"/>
  <pageSetup scale="56" fitToHeight="0" orientation="landscape" horizontalDpi="1200" verticalDpi="1200"/>
  <headerFooter>
    <oddFooter>&amp;C&amp;P</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B644F-28B2-4055-8CFF-2796E040E979}">
  <sheetPr codeName="Sheet6">
    <tabColor rgb="FF00B050"/>
  </sheetPr>
  <dimension ref="B7:C31"/>
  <sheetViews>
    <sheetView topLeftCell="A6" workbookViewId="0">
      <selection activeCell="E33" sqref="E33"/>
    </sheetView>
  </sheetViews>
  <sheetFormatPr defaultColWidth="8.84375" defaultRowHeight="12.45"/>
  <cols>
    <col min="1" max="16384" width="8.84375" style="15"/>
  </cols>
  <sheetData>
    <row r="7" spans="2:2">
      <c r="B7" s="15" t="s">
        <v>193</v>
      </c>
    </row>
    <row r="31" spans="3:3">
      <c r="C31" s="15" t="s">
        <v>1368</v>
      </c>
    </row>
  </sheetData>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1C33-C20A-4149-A878-2DB6E9A66EA7}">
  <sheetPr codeName="Sheet7">
    <tabColor rgb="FF00B050"/>
    <pageSetUpPr fitToPage="1"/>
  </sheetPr>
  <dimension ref="A1:I25"/>
  <sheetViews>
    <sheetView zoomScale="129" zoomScaleNormal="129" workbookViewId="0">
      <pane xSplit="3" ySplit="7" topLeftCell="D8" activePane="bottomRight" state="frozen"/>
      <selection pane="topRight" activeCell="E4" sqref="E4"/>
      <selection pane="bottomLeft" activeCell="E4" sqref="E4"/>
      <selection pane="bottomRight" activeCell="A4" sqref="A4"/>
    </sheetView>
  </sheetViews>
  <sheetFormatPr defaultColWidth="8.84375" defaultRowHeight="12.45"/>
  <cols>
    <col min="1" max="1" width="20.69140625" style="8" customWidth="1"/>
    <col min="2" max="2" width="25.69140625" style="6" customWidth="1"/>
    <col min="3" max="3" width="50.15234375" style="6" customWidth="1"/>
    <col min="4" max="4" width="40.69140625" style="6" customWidth="1"/>
    <col min="5" max="5" width="16.69140625" style="2" customWidth="1"/>
    <col min="6" max="6" width="25.69140625" style="2" customWidth="1"/>
    <col min="7" max="7" width="51.3828125" style="2" customWidth="1"/>
    <col min="8" max="16384" width="8.84375" style="2"/>
  </cols>
  <sheetData>
    <row r="1" spans="1:9" ht="21" customHeight="1">
      <c r="A1" s="119" t="s">
        <v>48</v>
      </c>
      <c r="B1" s="120"/>
      <c r="C1" s="1"/>
      <c r="D1" s="126" t="s">
        <v>49</v>
      </c>
      <c r="E1" s="127"/>
      <c r="F1" s="127"/>
      <c r="G1" s="128"/>
    </row>
    <row r="2" spans="1:9" ht="21" customHeight="1" thickBot="1">
      <c r="A2" s="10" t="s">
        <v>28</v>
      </c>
      <c r="B2" s="4" t="s">
        <v>1369</v>
      </c>
      <c r="C2" s="5"/>
      <c r="D2" s="79" t="s">
        <v>196</v>
      </c>
      <c r="E2" s="84" t="s">
        <v>56</v>
      </c>
      <c r="F2" s="78" t="s">
        <v>198</v>
      </c>
      <c r="G2" s="80" t="s">
        <v>199</v>
      </c>
    </row>
    <row r="3" spans="1:9" ht="21" customHeight="1">
      <c r="A3" s="10" t="s">
        <v>30</v>
      </c>
      <c r="B3" s="4" t="s">
        <v>31</v>
      </c>
      <c r="C3" s="5"/>
      <c r="D3" s="79" t="s">
        <v>54</v>
      </c>
      <c r="E3" s="76" t="s">
        <v>200</v>
      </c>
      <c r="F3" s="78" t="s">
        <v>201</v>
      </c>
      <c r="G3" s="80" t="s">
        <v>202</v>
      </c>
    </row>
    <row r="4" spans="1:9" ht="21" customHeight="1" thickBot="1">
      <c r="A4" s="10" t="s">
        <v>57</v>
      </c>
      <c r="B4" s="20">
        <v>2</v>
      </c>
      <c r="C4" s="5"/>
      <c r="D4" s="81" t="s">
        <v>60</v>
      </c>
      <c r="E4" s="82" t="s">
        <v>203</v>
      </c>
      <c r="F4" s="83" t="s">
        <v>58</v>
      </c>
      <c r="G4" s="84" t="s">
        <v>56</v>
      </c>
      <c r="I4" s="2" t="s">
        <v>47</v>
      </c>
    </row>
    <row r="5" spans="1:9" ht="21" customHeight="1">
      <c r="A5" s="10" t="s">
        <v>13</v>
      </c>
      <c r="B5" s="7">
        <v>45779</v>
      </c>
      <c r="C5" s="5"/>
      <c r="D5" s="18"/>
      <c r="E5" s="14"/>
      <c r="F5" s="18"/>
      <c r="G5" s="14"/>
    </row>
    <row r="6" spans="1:9" ht="20.5" customHeight="1">
      <c r="A6" s="5"/>
      <c r="B6" s="5"/>
      <c r="C6" s="5"/>
      <c r="D6" s="5"/>
      <c r="E6" s="5"/>
      <c r="F6" s="5"/>
      <c r="G6" s="5"/>
    </row>
    <row r="7" spans="1:9" s="3" customFormat="1" ht="47.5" customHeight="1">
      <c r="A7" s="9" t="s">
        <v>62</v>
      </c>
      <c r="B7" s="9" t="s">
        <v>63</v>
      </c>
      <c r="C7" s="9" t="s">
        <v>64</v>
      </c>
      <c r="D7" s="9" t="s">
        <v>1370</v>
      </c>
      <c r="E7" s="9" t="s">
        <v>66</v>
      </c>
      <c r="F7" s="9" t="s">
        <v>67</v>
      </c>
      <c r="G7" s="9" t="s">
        <v>37</v>
      </c>
    </row>
    <row r="8" spans="1:9" ht="70.75">
      <c r="A8" s="56" t="s">
        <v>68</v>
      </c>
      <c r="B8" s="41" t="s">
        <v>1371</v>
      </c>
      <c r="C8" s="66" t="s">
        <v>1372</v>
      </c>
      <c r="D8" s="57"/>
      <c r="E8" s="56" t="s">
        <v>71</v>
      </c>
      <c r="F8" s="13"/>
      <c r="G8" s="14"/>
    </row>
    <row r="9" spans="1:9" ht="42.45">
      <c r="A9" s="56" t="s">
        <v>73</v>
      </c>
      <c r="B9" s="60"/>
      <c r="C9" s="63" t="s">
        <v>1373</v>
      </c>
      <c r="D9" s="59"/>
      <c r="E9" s="61" t="s">
        <v>71</v>
      </c>
      <c r="F9" s="13"/>
      <c r="G9" s="14"/>
    </row>
    <row r="10" spans="1:9" ht="28.3">
      <c r="A10" s="56" t="s">
        <v>76</v>
      </c>
      <c r="B10" s="60"/>
      <c r="C10" s="64" t="s">
        <v>1374</v>
      </c>
      <c r="D10" s="59"/>
      <c r="E10" s="61" t="s">
        <v>71</v>
      </c>
      <c r="F10" s="13"/>
      <c r="G10" s="14"/>
    </row>
    <row r="11" spans="1:9" ht="47.25" customHeight="1">
      <c r="A11" s="56" t="s">
        <v>78</v>
      </c>
      <c r="B11" s="60"/>
      <c r="C11" s="64" t="s">
        <v>1375</v>
      </c>
      <c r="D11" s="59"/>
      <c r="E11" s="61" t="s">
        <v>71</v>
      </c>
      <c r="F11" s="13"/>
      <c r="G11" s="14"/>
    </row>
    <row r="12" spans="1:9" ht="42.45">
      <c r="A12" s="56" t="s">
        <v>82</v>
      </c>
      <c r="B12" s="41" t="s">
        <v>1371</v>
      </c>
      <c r="C12" s="67" t="s">
        <v>1376</v>
      </c>
      <c r="D12" s="62"/>
      <c r="E12" s="56" t="s">
        <v>92</v>
      </c>
      <c r="F12" s="13"/>
      <c r="G12" s="14"/>
    </row>
    <row r="13" spans="1:9" ht="42.45">
      <c r="A13" s="56" t="s">
        <v>85</v>
      </c>
      <c r="B13" s="13" t="s">
        <v>1371</v>
      </c>
      <c r="C13" s="65" t="s">
        <v>1377</v>
      </c>
      <c r="D13" s="13"/>
      <c r="E13" s="56" t="s">
        <v>175</v>
      </c>
      <c r="F13" s="13"/>
      <c r="G13" s="14"/>
    </row>
    <row r="14" spans="1:9" ht="42.45">
      <c r="A14" s="56" t="s">
        <v>87</v>
      </c>
      <c r="B14" s="13" t="s">
        <v>1371</v>
      </c>
      <c r="C14" s="68" t="s">
        <v>1378</v>
      </c>
      <c r="D14" s="13"/>
      <c r="E14" s="56" t="s">
        <v>134</v>
      </c>
      <c r="F14" s="13"/>
      <c r="G14" s="14"/>
    </row>
    <row r="15" spans="1:9" ht="42.45">
      <c r="A15" s="56" t="s">
        <v>90</v>
      </c>
      <c r="B15" s="13" t="s">
        <v>658</v>
      </c>
      <c r="C15" s="68" t="s">
        <v>1379</v>
      </c>
      <c r="D15" s="13"/>
      <c r="E15" s="56" t="s">
        <v>89</v>
      </c>
      <c r="F15" s="13"/>
      <c r="G15" s="14"/>
    </row>
    <row r="16" spans="1:9" ht="42.45">
      <c r="A16" s="56" t="s">
        <v>93</v>
      </c>
      <c r="B16" s="13" t="s">
        <v>658</v>
      </c>
      <c r="C16" s="68" t="s">
        <v>1380</v>
      </c>
      <c r="D16" s="13"/>
      <c r="E16" s="56" t="s">
        <v>89</v>
      </c>
      <c r="F16" s="13"/>
      <c r="G16" s="14"/>
    </row>
    <row r="17" spans="1:7" ht="42.45">
      <c r="A17" s="56" t="s">
        <v>96</v>
      </c>
      <c r="B17" s="13" t="s">
        <v>911</v>
      </c>
      <c r="C17" s="68" t="s">
        <v>1381</v>
      </c>
      <c r="D17" s="13"/>
      <c r="E17" s="56" t="s">
        <v>140</v>
      </c>
      <c r="F17" s="13"/>
      <c r="G17" s="14"/>
    </row>
    <row r="18" spans="1:7" ht="42.45">
      <c r="A18" s="56" t="s">
        <v>100</v>
      </c>
      <c r="B18" s="13" t="s">
        <v>911</v>
      </c>
      <c r="C18" s="68" t="s">
        <v>1382</v>
      </c>
      <c r="D18" s="13"/>
      <c r="E18" s="56" t="s">
        <v>140</v>
      </c>
      <c r="F18" s="13"/>
      <c r="G18" s="14"/>
    </row>
    <row r="19" spans="1:7" ht="28.3">
      <c r="A19" s="56" t="s">
        <v>103</v>
      </c>
      <c r="B19" s="101" t="s">
        <v>673</v>
      </c>
      <c r="C19" s="69" t="s">
        <v>1383</v>
      </c>
      <c r="D19" s="101"/>
      <c r="E19" s="56" t="s">
        <v>179</v>
      </c>
      <c r="F19" s="13"/>
      <c r="G19" s="14"/>
    </row>
    <row r="20" spans="1:7" ht="42.45">
      <c r="A20" s="56" t="s">
        <v>106</v>
      </c>
      <c r="B20" s="13" t="s">
        <v>842</v>
      </c>
      <c r="C20" s="68" t="s">
        <v>1384</v>
      </c>
      <c r="D20" s="13"/>
      <c r="E20" s="56" t="s">
        <v>182</v>
      </c>
      <c r="F20" s="13"/>
      <c r="G20" s="14"/>
    </row>
    <row r="21" spans="1:7" ht="14.15">
      <c r="A21" s="56" t="s">
        <v>108</v>
      </c>
      <c r="B21" s="13" t="s">
        <v>1385</v>
      </c>
      <c r="C21" s="70" t="s">
        <v>1386</v>
      </c>
      <c r="D21" s="13"/>
      <c r="E21" s="56" t="s">
        <v>162</v>
      </c>
      <c r="F21" s="13"/>
      <c r="G21" s="14"/>
    </row>
    <row r="22" spans="1:7" ht="14.15">
      <c r="A22" s="56" t="s">
        <v>111</v>
      </c>
      <c r="B22" s="13" t="s">
        <v>1385</v>
      </c>
      <c r="C22" s="70" t="s">
        <v>1387</v>
      </c>
      <c r="D22" s="13"/>
      <c r="E22" s="56" t="s">
        <v>1388</v>
      </c>
      <c r="F22" s="13"/>
      <c r="G22" s="14"/>
    </row>
    <row r="23" spans="1:7" ht="28.3">
      <c r="A23" s="56" t="s">
        <v>114</v>
      </c>
      <c r="B23" s="13" t="s">
        <v>1389</v>
      </c>
      <c r="C23" s="70" t="s">
        <v>1390</v>
      </c>
      <c r="D23" s="41"/>
      <c r="E23" s="56" t="s">
        <v>165</v>
      </c>
      <c r="F23" s="13"/>
      <c r="G23" s="14"/>
    </row>
    <row r="24" spans="1:7" ht="42.45">
      <c r="A24" s="56" t="s">
        <v>118</v>
      </c>
      <c r="B24" s="13" t="s">
        <v>1389</v>
      </c>
      <c r="C24" s="68" t="s">
        <v>1391</v>
      </c>
      <c r="D24" s="13"/>
      <c r="E24" s="56" t="s">
        <v>105</v>
      </c>
      <c r="F24" s="13"/>
      <c r="G24" s="14"/>
    </row>
    <row r="25" spans="1:7" ht="14.15">
      <c r="A25" s="56" t="s">
        <v>121</v>
      </c>
      <c r="B25" s="58" t="s">
        <v>188</v>
      </c>
      <c r="C25" s="71" t="s">
        <v>1392</v>
      </c>
      <c r="D25" s="13"/>
      <c r="E25" s="56" t="s">
        <v>1393</v>
      </c>
      <c r="F25" s="13"/>
      <c r="G25" s="14"/>
    </row>
  </sheetData>
  <autoFilter ref="A7:G25" xr:uid="{3E1413BE-B23A-42BE-B21E-1F69820EF281}">
    <sortState xmlns:xlrd2="http://schemas.microsoft.com/office/spreadsheetml/2017/richdata2" ref="A8:G25">
      <sortCondition ref="B7:B25"/>
    </sortState>
  </autoFilter>
  <mergeCells count="2">
    <mergeCell ref="A1:B1"/>
    <mergeCell ref="D1:G1"/>
  </mergeCells>
  <phoneticPr fontId="18" type="noConversion"/>
  <dataValidations count="1">
    <dataValidation type="list" allowBlank="1" showInputMessage="1" showErrorMessage="1" sqref="D14:D25" xr:uid="{48253426-2689-4DB2-BE98-E0DF85B1B7C0}">
      <formula1>"Must, Satisfier, Delighter"</formula1>
    </dataValidation>
  </dataValidations>
  <pageMargins left="0.7" right="0.7" top="0.75" bottom="0.75" header="0.3" footer="0.3"/>
  <pageSetup scale="56" fitToHeight="0" orientation="landscape" horizontalDpi="1200" verticalDpi="1200"/>
  <headerFooter>
    <oddFooter>&amp;C&amp;P</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0ccd0948-7446-4b1d-a1e6-bac6280f6796">
      <UserInfo>
        <DisplayName/>
        <AccountId xsi:nil="true"/>
        <AccountType/>
      </UserInfo>
    </SharedWithUsers>
    <lcf76f155ced4ddcb4097134ff3c332f xmlns="345482ca-ba02-4b39-b6b2-1708d1d2c34d">
      <Terms xmlns="http://schemas.microsoft.com/office/infopath/2007/PartnerControls"/>
    </lcf76f155ced4ddcb4097134ff3c332f>
    <TaxCatchAll xmlns="0ccd0948-7446-4b1d-a1e6-bac6280f6796" xsi:nil="true"/>
    <MediaLengthInSeconds xmlns="345482ca-ba02-4b39-b6b2-1708d1d2c34d" xsi:nil="true"/>
    <FolderPath xmlns="345482ca-ba02-4b39-b6b2-1708d1d2c34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9B532A74BD5E48A19C6411C774DADB" ma:contentTypeVersion="25" ma:contentTypeDescription="Create a new document." ma:contentTypeScope="" ma:versionID="205c12586ca54b993c895816a57e41bf">
  <xsd:schema xmlns:xsd="http://www.w3.org/2001/XMLSchema" xmlns:xs="http://www.w3.org/2001/XMLSchema" xmlns:p="http://schemas.microsoft.com/office/2006/metadata/properties" xmlns:ns2="0ccd0948-7446-4b1d-a1e6-bac6280f6796" xmlns:ns3="345482ca-ba02-4b39-b6b2-1708d1d2c34d" targetNamespace="http://schemas.microsoft.com/office/2006/metadata/properties" ma:root="true" ma:fieldsID="3bfa3d3f7199e13c726cdfcdbab07a23" ns2:_="" ns3:_="">
    <xsd:import namespace="0ccd0948-7446-4b1d-a1e6-bac6280f6796"/>
    <xsd:import namespace="345482ca-ba02-4b39-b6b2-1708d1d2c34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Location" minOccurs="0"/>
                <xsd:element ref="ns3:MediaServiceOCR" minOccurs="0"/>
                <xsd:element ref="ns3:FolderPath"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cd0948-7446-4b1d-a1e6-bac6280f6796"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d32e68c-7619-42c5-9313-b5be0cc302a5}" ma:internalName="TaxCatchAll" ma:showField="CatchAllData" ma:web="0ccd0948-7446-4b1d-a1e6-bac6280f679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5482ca-ba02-4b39-b6b2-1708d1d2c34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FolderPath" ma:index="21" nillable="true" ma:displayName="FolderPath" ma:format="Dropdown" ma:internalName="FolderPath">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348ACA-8E1B-4BA6-BB72-C4948282426C}">
  <ds:schemaRefs>
    <ds:schemaRef ds:uri="http://schemas.microsoft.com/sharepoint/v3/contenttype/forms"/>
  </ds:schemaRefs>
</ds:datastoreItem>
</file>

<file path=customXml/itemProps2.xml><?xml version="1.0" encoding="utf-8"?>
<ds:datastoreItem xmlns:ds="http://schemas.openxmlformats.org/officeDocument/2006/customXml" ds:itemID="{89304B2A-8713-4A48-BF66-4391E7877216}">
  <ds:schemaRefs>
    <ds:schemaRef ds:uri="http://schemas.microsoft.com/office/2006/metadata/properties"/>
    <ds:schemaRef ds:uri="http://schemas.microsoft.com/office/infopath/2007/PartnerControls"/>
    <ds:schemaRef ds:uri="0ccd0948-7446-4b1d-a1e6-bac6280f6796"/>
    <ds:schemaRef ds:uri="345482ca-ba02-4b39-b6b2-1708d1d2c34d"/>
  </ds:schemaRefs>
</ds:datastoreItem>
</file>

<file path=customXml/itemProps3.xml><?xml version="1.0" encoding="utf-8"?>
<ds:datastoreItem xmlns:ds="http://schemas.openxmlformats.org/officeDocument/2006/customXml" ds:itemID="{64ED02FD-CE17-4662-AE22-370750E46B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cd0948-7446-4b1d-a1e6-bac6280f6796"/>
    <ds:schemaRef ds:uri="345482ca-ba02-4b39-b6b2-1708d1d2c3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363e9a1-58fb-4499-b030-3aeb6b3987b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Forms Cover Page</vt:lpstr>
      <vt:lpstr>TRD Change Log</vt:lpstr>
      <vt:lpstr>Staff Safety Pendant TRD Rev0.1</vt:lpstr>
      <vt:lpstr>Staff Safety Pendant Figures</vt:lpstr>
      <vt:lpstr>SS_2.0_Bracelet_TRD</vt:lpstr>
      <vt:lpstr>SecureSafetyBracelet PR Figures</vt:lpstr>
      <vt:lpstr>Timepiece TRD Rev1.0</vt:lpstr>
      <vt:lpstr>'Staff Safety Pendant Figures'!Figure_1</vt:lpstr>
      <vt:lpstr>SS_2.0_Bracelet_TRD!Print_Titles</vt:lpstr>
      <vt:lpstr>'Staff Safety Pendant TRD Rev0.1'!Print_Titles</vt:lpstr>
      <vt:lpstr>'Timepiece TRD Rev1.0'!Print_Titles</vt:lpstr>
      <vt:lpstr>'TRD Change Log'!Print_Titles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Technical Requirements Document (TRD) Template</dc:title>
  <dc:subject/>
  <dc:creator>Joe Garofalo</dc:creator>
  <cp:keywords/>
  <dc:description/>
  <cp:lastModifiedBy>Dan Cross</cp:lastModifiedBy>
  <cp:revision/>
  <dcterms:created xsi:type="dcterms:W3CDTF">2021-12-05T20:25:26Z</dcterms:created>
  <dcterms:modified xsi:type="dcterms:W3CDTF">2025-08-29T18:04:23Z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0x0101002D9B532A74BD5E48A19C6411C774DADB</vt:lpwstr>
  </property>
  <property fmtid="{D5CDD505-2E9C-101B-9397-08002B2CF9AE}" pid="3" name="TaxKeyword">
    <vt:lpwstr/>
  </property>
  <property fmtid="{D5CDD505-2E9C-101B-9397-08002B2CF9AE}" pid="4" name="SharedWithUsers">
    <vt:lpwstr>103;#Joe Garofalo;#80;#Sherre Staves;#10;#Arnel Dimatulac;#19;#eQMS User;#60;#Xiao Zheng</vt:lpwstr>
  </property>
  <property fmtid="{D5CDD505-2E9C-101B-9397-08002B2CF9AE}" pid="5" name="MediaServiceImageTags">
    <vt:lpwstr/>
  </property>
  <property fmtid="{D5CDD505-2E9C-101B-9397-08002B2CF9AE}" pid="6" name="_ExtendedDescription">
    <vt:lpwstr/>
  </property>
  <property fmtid="{D5CDD505-2E9C-101B-9397-08002B2CF9AE}" pid="7" name="Order">
    <vt:r8>64900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TriggerFlowInfo">
    <vt:lpwstr/>
  </property>
</Properties>
</file>